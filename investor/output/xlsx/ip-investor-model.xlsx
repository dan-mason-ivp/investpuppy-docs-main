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Base Case" sheetId="3" state="visible" r:id="rId5"/>
    <sheet name="Bear Case" sheetId="4" state="visible" r:id="rId6"/>
    <sheet name="Bull Case" sheetId="5" state="visible" r:id="rId7"/>
    <sheet name="Summary" sheetId="6" state="visible" r:id="rId8"/>
    <sheet name="Tenzor Scenari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3" authorId="0">
      <text>
        <r>
          <rPr>
            <sz val="10"/>
            <rFont val="Arial"/>
            <family val="2"/>
          </rPr>
          <t xml:space="preserve">Indicative — actual to be determined at signing</t>
        </r>
      </text>
    </comment>
  </commentList>
</comments>
</file>

<file path=xl/sharedStrings.xml><?xml version="1.0" encoding="utf-8"?>
<sst xmlns="http://schemas.openxmlformats.org/spreadsheetml/2006/main" count="331" uniqueCount="240">
  <si>
    <t xml:space="preserve">InvestPuppy · Investor Financial Model</t>
  </si>
  <si>
    <t xml:space="preserve">Vektor — Systematic Listed Equity Portfolio Management</t>
  </si>
  <si>
    <t xml:space="preserve">Version</t>
  </si>
  <si>
    <t xml:space="preserve">1.2 · May 2026 — pricing updated</t>
  </si>
  <si>
    <t xml:space="preserve">Currency</t>
  </si>
  <si>
    <t xml:space="preserve">USD throughout</t>
  </si>
  <si>
    <t xml:space="preserve">Scenario tabs</t>
  </si>
  <si>
    <t xml:space="preserve">Base · Bear · Bull</t>
  </si>
  <si>
    <t xml:space="preserve">Raise target</t>
  </si>
  <si>
    <t xml:space="preserve">US$2.5M</t>
  </si>
  <si>
    <t xml:space="preserve">Pre-money range</t>
  </si>
  <si>
    <t xml:space="preserve">US$9M – US$10M</t>
  </si>
  <si>
    <t xml:space="preserve">Team</t>
  </si>
  <si>
    <t xml:space="preserve">CEO + CTO + 3 pre-launch collaborators (5 total)</t>
  </si>
  <si>
    <t xml:space="preserve">Status</t>
  </si>
  <si>
    <t xml:space="preserve">Pre-revenue · building toward first Proof Partner</t>
  </si>
  <si>
    <t xml:space="preserve">COLOUR CODING</t>
  </si>
  <si>
    <t xml:space="preserve">Blue text</t>
  </si>
  <si>
    <t xml:space="preserve">Hardcoded inputs — edit these to change scenarios</t>
  </si>
  <si>
    <t xml:space="preserve">Black text</t>
  </si>
  <si>
    <t xml:space="preserve">Formulas and calculations — do not edit</t>
  </si>
  <si>
    <t xml:space="preserve">Green text</t>
  </si>
  <si>
    <t xml:space="preserve">Cross-sheet links</t>
  </si>
  <si>
    <t xml:space="preserve">Yellow bg</t>
  </si>
  <si>
    <t xml:space="preserve">Key assumptions requiring attention</t>
  </si>
  <si>
    <t xml:space="preserve">THREE DELIVERY MODELS — REVENUE STREAMS</t>
  </si>
  <si>
    <t xml:space="preserve">Vektor : Boutique</t>
  </si>
  <si>
    <t xml:space="preserve">AUM-tiered annual subscription · direct to boutique DPMs, RIAs, family offices</t>
  </si>
  <si>
    <t xml:space="preserve">Vektor : House</t>
  </si>
  <si>
    <t xml:space="preserve">Institutional subscription · Alloy Partners programme · staged and gated engagement</t>
  </si>
  <si>
    <t xml:space="preserve">Vektor : Wrapped</t>
  </si>
  <si>
    <t xml:space="preserve">Licensing via custodian banks and wealth platforms · per-mandate + platform fee</t>
  </si>
  <si>
    <t xml:space="preserve">Internal only · Not for distribution · InvestPuppy Pte Ltd · May 2026</t>
  </si>
  <si>
    <t xml:space="preserve">Tenzor Scenario</t>
  </si>
  <si>
    <t xml:space="preserve">NDA-stage institutional product roadmap — combined Vektor + Tenzor scenario. Development begins post first Vektor Proof Partners go-live. Series A funded.</t>
  </si>
  <si>
    <t xml:space="preserve">ASSUMPTIONS</t>
  </si>
  <si>
    <t xml:space="preserve">BASE</t>
  </si>
  <si>
    <t xml:space="preserve">BEAR</t>
  </si>
  <si>
    <t xml:space="preserve">BULL</t>
  </si>
  <si>
    <t xml:space="preserve">PRICING (USD/year) — all scenarios identical (locked)</t>
  </si>
  <si>
    <t xml:space="preserve">  Proof Partners Tier A rate (&lt;US$55M AUM)</t>
  </si>
  <si>
    <t xml:space="preserve">  Proof Partners Tier B rate (&gt;US$55M AUM, 35% below Growth tier)</t>
  </si>
  <si>
    <t xml:space="preserve">Growth tier x 0.65 - Year 1 preferential rate locked for duration</t>
  </si>
  <si>
    <t xml:space="preserve">  Entry tier</t>
  </si>
  <si>
    <t xml:space="preserve">  Growth tier</t>
  </si>
  <si>
    <t xml:space="preserve">  Institutional tier</t>
  </si>
  <si>
    <t xml:space="preserve">  Enterprise tier (from)</t>
  </si>
  <si>
    <t xml:space="preserve">  Bloomberg Terminal ref</t>
  </si>
  <si>
    <t xml:space="preserve">AUM TIER THRESHOLDS (USD millions)</t>
  </si>
  <si>
    <t xml:space="preserve">  Entry threshold (≤)</t>
  </si>
  <si>
    <t xml:space="preserve">  Growth threshold</t>
  </si>
  <si>
    <t xml:space="preserve">  Institutional threshold</t>
  </si>
  <si>
    <t xml:space="preserve">VEKTOR : BOUTIQUE — CLIENT RAMP (cumulative end of year)</t>
  </si>
  <si>
    <t xml:space="preserve">  Proof Partners (12-month founding rate) — Year 1</t>
  </si>
  <si>
    <t xml:space="preserve">Split between Tier A and Tier B clients to be specified as PP conversations progress</t>
  </si>
  <si>
    <t xml:space="preserve">  Proof Partners (12-month founding rate) — Year 2</t>
  </si>
  <si>
    <t xml:space="preserve">  Proof Partners (12-month founding rate) — Year 3</t>
  </si>
  <si>
    <t xml:space="preserve">  Proof Partners (12-month founding rate) — Year 4</t>
  </si>
  <si>
    <t xml:space="preserve">  Proof Partners (12-month founding rate) — Year 5</t>
  </si>
  <si>
    <t xml:space="preserve">  Entry clients — Year 1</t>
  </si>
  <si>
    <t xml:space="preserve">  Entry clients — Year 2</t>
  </si>
  <si>
    <t xml:space="preserve">  Entry clients — Year 3</t>
  </si>
  <si>
    <t xml:space="preserve">  Entry clients — Year 4</t>
  </si>
  <si>
    <t xml:space="preserve">  Entry clients — Year 5</t>
  </si>
  <si>
    <t xml:space="preserve">  Growth clients — Year 1</t>
  </si>
  <si>
    <t xml:space="preserve">  Growth clients — Year 2</t>
  </si>
  <si>
    <t xml:space="preserve">  Growth clients — Year 3</t>
  </si>
  <si>
    <t xml:space="preserve">  Growth clients — Year 4</t>
  </si>
  <si>
    <t xml:space="preserve">  Growth clients — Year 5</t>
  </si>
  <si>
    <t xml:space="preserve">  Institutional clients — Year 1</t>
  </si>
  <si>
    <t xml:space="preserve">  Institutional clients — Year 2</t>
  </si>
  <si>
    <t xml:space="preserve">  Institutional clients — Year 3</t>
  </si>
  <si>
    <t xml:space="preserve">  Institutional clients — Year 4</t>
  </si>
  <si>
    <t xml:space="preserve">  Institutional clients — Year 5</t>
  </si>
  <si>
    <t xml:space="preserve">  Enterprise clients — Year 1</t>
  </si>
  <si>
    <t xml:space="preserve">  Enterprise clients — Year 2</t>
  </si>
  <si>
    <t xml:space="preserve">  Enterprise clients — Year 3</t>
  </si>
  <si>
    <t xml:space="preserve">  Enterprise clients — Year 4</t>
  </si>
  <si>
    <t xml:space="preserve">  Enterprise clients — Year 5</t>
  </si>
  <si>
    <t xml:space="preserve">VEKTOR : HOUSE — ALLOY PARTNERS RAMP (cumulative)</t>
  </si>
  <si>
    <t xml:space="preserve">  Stage 1 conversations — Year 1</t>
  </si>
  <si>
    <t xml:space="preserve">  Stage 1 conversations — Year 2</t>
  </si>
  <si>
    <t xml:space="preserve">  Stage 1 conversations — Year 3</t>
  </si>
  <si>
    <t xml:space="preserve">  Stage 1 conversations — Year 4</t>
  </si>
  <si>
    <t xml:space="preserve">  Stage 1 conversations — Year 5</t>
  </si>
  <si>
    <t xml:space="preserve">  Stage 2 active — Year 1</t>
  </si>
  <si>
    <t xml:space="preserve">  Stage 2 active — Year 2</t>
  </si>
  <si>
    <t xml:space="preserve">  Stage 2 active — Year 3</t>
  </si>
  <si>
    <t xml:space="preserve">  Stage 2 active — Year 4</t>
  </si>
  <si>
    <t xml:space="preserve">  Stage 2 active — Year 5</t>
  </si>
  <si>
    <t xml:space="preserve">  Commercial clients — Year 1</t>
  </si>
  <si>
    <t xml:space="preserve">  Commercial clients — Year 2</t>
  </si>
  <si>
    <t xml:space="preserve">  Commercial clients — Year 3</t>
  </si>
  <si>
    <t xml:space="preserve">  Commercial clients — Year 4</t>
  </si>
  <si>
    <t xml:space="preserve">  Commercial clients — Year 5</t>
  </si>
  <si>
    <t xml:space="preserve">VEKTOR : HOUSE — ANNUAL CONTRACT VALUE (USD)</t>
  </si>
  <si>
    <t xml:space="preserve">  House ACV (indicative)</t>
  </si>
  <si>
    <t xml:space="preserve">VEKTOR : WRAPPED — PARTNER RAMP (cumulative bank partners)</t>
  </si>
  <si>
    <t xml:space="preserve">  Bank partners — Year 1</t>
  </si>
  <si>
    <t xml:space="preserve">  Bank partners — Year 2</t>
  </si>
  <si>
    <t xml:space="preserve">  Bank partners — Year 3</t>
  </si>
  <si>
    <t xml:space="preserve">  Bank partners — Year 4</t>
  </si>
  <si>
    <t xml:space="preserve">  Bank partners — Year 5</t>
  </si>
  <si>
    <t xml:space="preserve">  Platform licence per partner (USD/yr)</t>
  </si>
  <si>
    <t xml:space="preserve">  Per-mandate fee (USD/mandate/yr)</t>
  </si>
  <si>
    <t xml:space="preserve">  Average mandates per partner</t>
  </si>
  <si>
    <t xml:space="preserve">OPERATING COSTS (USD/year)</t>
  </si>
  <si>
    <t xml:space="preserve">  5-person team (salaries + benefits)</t>
  </si>
  <si>
    <t xml:space="preserve">  Infrastructure (AWS, tooling)</t>
  </si>
  <si>
    <t xml:space="preserve">  Legal + compliance</t>
  </si>
  <si>
    <t xml:space="preserve">  Sales + marketing</t>
  </si>
  <si>
    <t xml:space="preserve">  Other overheads</t>
  </si>
  <si>
    <t xml:space="preserve">TEAM COSTS — MARKET RATE vs ACTUAL DRAW</t>
  </si>
  <si>
    <t xml:space="preserve">Market-rate costs show the true cost of the team capability presented to investors. Actual draw shows planned founder compensation at seed stage. The gap is founders' non-cash contribution to the business.</t>
  </si>
  <si>
    <t xml:space="preserve">MARKET-RATE COSTS (indicative — Singapore-based senior institutional fintech)</t>
  </si>
  <si>
    <t xml:space="preserve">  CEO (market rate incl. CPF + benefits)</t>
  </si>
  <si>
    <t xml:space="preserve">  CTO (market rate incl. CPF + benefits)</t>
  </si>
  <si>
    <t xml:space="preserve">  Senior collaborator 1 (market rate)</t>
  </si>
  <si>
    <t xml:space="preserve">  Senior collaborator 2 (market rate)</t>
  </si>
  <si>
    <t xml:space="preserve">  Senior collaborator 3 (market rate)</t>
  </si>
  <si>
    <t xml:space="preserve">Total market-rate team cost</t>
  </si>
  <si>
    <t xml:space="preserve">PLANNED ACTUAL DRAW — SEED STAGE (to be confirmed by founders)</t>
  </si>
  <si>
    <t xml:space="preserve">  CEO (planned seed-stage draw)</t>
  </si>
  <si>
    <t xml:space="preserve">  CTO (planned seed-stage draw)</t>
  </si>
  <si>
    <t xml:space="preserve">  Senior collaborator 1 (actual)</t>
  </si>
  <si>
    <t xml:space="preserve">  Senior collaborator 2 (actual)</t>
  </si>
  <si>
    <t xml:space="preserve">  Senior collaborator 3 (actual)</t>
  </si>
  <si>
    <t xml:space="preserve">Total actual draw</t>
  </si>
  <si>
    <t xml:space="preserve">Founders' non-cash contribution (market rate minus actual draw)</t>
  </si>
  <si>
    <t xml:space="preserve">RUNWAY NOTE: The 5-person team cost in Operating Costs above uses actual draw (not market rate). Runway calculation should be verified once actual draw figures are confirmed. Market-rate costs shown above for investor transparency only.</t>
  </si>
  <si>
    <t xml:space="preserve">Note: All inputs in blue. Formulas in black. Green = cross-sheet link.</t>
  </si>
  <si>
    <t xml:space="preserve">VEKTOR — BASE CASE</t>
  </si>
  <si>
    <t xml:space="preserve">Year 1
(2026)</t>
  </si>
  <si>
    <t xml:space="preserve">Year 2
(2027)</t>
  </si>
  <si>
    <t xml:space="preserve">Year 3
(2028)</t>
  </si>
  <si>
    <t xml:space="preserve">Year 4
(2029)</t>
  </si>
  <si>
    <t xml:space="preserve">Year 5
(2030)</t>
  </si>
  <si>
    <t xml:space="preserve">VEKTOR : BOUTIQUE — ANNUAL RECURRING REVENUE (USD)</t>
  </si>
  <si>
    <t xml:space="preserve">  Proof Partners</t>
  </si>
  <si>
    <t xml:space="preserve">  Entry</t>
  </si>
  <si>
    <t xml:space="preserve">  Growth</t>
  </si>
  <si>
    <t xml:space="preserve">  Institutional</t>
  </si>
  <si>
    <t xml:space="preserve">  Enterprise</t>
  </si>
  <si>
    <t xml:space="preserve">Boutique ARR Total</t>
  </si>
  <si>
    <t xml:space="preserve">VEKTOR : HOUSE — ANNUAL RECURRING REVENUE (USD)</t>
  </si>
  <si>
    <t xml:space="preserve">  Commercial clients (Alloy Partners)</t>
  </si>
  <si>
    <t xml:space="preserve">House ARR Total</t>
  </si>
  <si>
    <t xml:space="preserve">VEKTOR : WRAPPED — LICENCE REVENUE (USD)</t>
  </si>
  <si>
    <t xml:space="preserve">  Platform licence fees</t>
  </si>
  <si>
    <t xml:space="preserve">  Per-mandate fees</t>
  </si>
  <si>
    <t xml:space="preserve">Wrapped Revenue Total</t>
  </si>
  <si>
    <t xml:space="preserve">TOTAL ARR (USD)</t>
  </si>
  <si>
    <t xml:space="preserve">Total ARR</t>
  </si>
  <si>
    <t xml:space="preserve">OPERATING COSTS (USD) — constant across years (update as needed)</t>
  </si>
  <si>
    <t xml:space="preserve">  Total operating costs</t>
  </si>
  <si>
    <t xml:space="preserve">EBITDA</t>
  </si>
  <si>
    <t xml:space="preserve">EBITDA margin</t>
  </si>
  <si>
    <t xml:space="preserve">RAISE — CONTEXT</t>
  </si>
  <si>
    <t xml:space="preserve">  Raise target</t>
  </si>
  <si>
    <t xml:space="preserve">  Pre-money range</t>
  </si>
  <si>
    <t xml:space="preserve">  Runway (base case)</t>
  </si>
  <si>
    <t xml:space="preserve">18–24 months post-raise</t>
  </si>
  <si>
    <t xml:space="preserve">  Use of proceeds</t>
  </si>
  <si>
    <t xml:space="preserve">5-person team · institutional sales cycle · legal infrastructure · Tenzor design phase</t>
  </si>
  <si>
    <t xml:space="preserve">VEKTOR — BEAR CASE</t>
  </si>
  <si>
    <t xml:space="preserve">VEKTOR — BULL CASE</t>
  </si>
  <si>
    <t xml:space="preserve">SCENARIO SUMMARY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</si>
  <si>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</si>
  <si>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</si>
  <si>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</si>
  <si>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</si>
  <si>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</si>
  <si>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BASE CASE</t>
  </si>
  <si>
    <t xml:space="preserve">  Total ARR</t>
  </si>
  <si>
    <t xml:space="preserve">  EBITDA</t>
  </si>
  <si>
    <t xml:space="preserve">  EBITDA margin</t>
  </si>
  <si>
    <t xml:space="preserve">BEAR CASE</t>
  </si>
  <si>
    <t xml:space="preserve">BULL CASE</t>
  </si>
  <si>
    <t xml:space="preserve">Costs scale at +10% p.a. Year 1→2, +15% Year 2→3, +20% thereafter as headcount grows.</t>
  </si>
  <si>
    <t xml:space="preserve">House and Wrapped revenue begin Year 3 (Base) — 12–18 month institutional sales cycle.</t>
  </si>
  <si>
    <t xml:space="preserve">TENZOR SCENARIO (conservative base — see Tenzor Scenario tab)</t>
  </si>
  <si>
    <t xml:space="preserve">  Combined Revenue (Vektor Base + Tenzor)</t>
  </si>
  <si>
    <t xml:space="preserve">  Combined EBITDA</t>
  </si>
  <si>
    <t xml:space="preserve">TENZOR — INSTITUTIONAL PRODUCT ROADMAP</t>
  </si>
  <si>
    <t xml:space="preserve">NDA CONFIDENTIAL — NOT FOR EXTERNAL DISTRIBUTION</t>
  </si>
  <si>
    <t xml:space="preserve">TENZOR CONTEXT</t>
  </si>
  <si>
    <t xml:space="preserve">  Product</t>
  </si>
  <si>
    <t xml:space="preserve">Tenzor — full institutional portfolio management platform. Same systematic methodology as Vektor extended to serve DPM desks at regional banks, large MFOs, and institutional asset managers.</t>
  </si>
  <si>
    <t xml:space="preserve">  Sequencing</t>
  </si>
  <si>
    <t xml:space="preserve">Development begins post first Vektor Proof Partners go-live. Series A funded. Not in development concurrently with Vektor.</t>
  </si>
  <si>
    <t xml:space="preserve">  Series A trigger</t>
  </si>
  <si>
    <t xml:space="preserve">First Vektor Proof Partners live · Alloy Partners Stage 2 active · Tenzor design phase complete</t>
  </si>
  <si>
    <t xml:space="preserve">  Series A size</t>
  </si>
  <si>
    <t xml:space="preserve">US$4M – US$5M (indicative) · to fund Tenzor development team + expanded commercial infrastructure</t>
  </si>
  <si>
    <t xml:space="preserve">  Market context</t>
  </si>
  <si>
    <t xml:space="preserve">Temenos TripleA Plus: US$150K–US$400K+ per deployment. Avaloq: US$500K–US$2M+ implementation. Tenzor enters below both at mid-market institutional pricing.</t>
  </si>
  <si>
    <t xml:space="preserve">  TAM (combined)</t>
  </si>
  <si>
    <t xml:space="preserve">~US$25M–US$30M ARR at 10% penetration across SG, CH, UK (Vektor + Tenzor non-overlapping, conservative)</t>
  </si>
  <si>
    <t xml:space="preserve">TENZOR ASSUMPTIONS — CONSERVATIVE BASE CASE</t>
  </si>
  <si>
    <t xml:space="preserve">TENZOR PRICING (USD/year) — indicative</t>
  </si>
  <si>
    <t xml:space="preserve">  Tenzor Standard (up to US$500M AUM)</t>
  </si>
  <si>
    <t xml:space="preserve">Below Temenos/Avaloq floor · mid-market institutional pricing</t>
  </si>
  <si>
    <t xml:space="preserve">  Tenzor Growth (US$500M–US$2B AUM)</t>
  </si>
  <si>
    <t xml:space="preserve">  Tenzor Institutional (US$2B+ AUM)</t>
  </si>
  <si>
    <t xml:space="preserve">TENZOR CLIENT RAMP (cumulative, end of year)</t>
  </si>
  <si>
    <t xml:space="preserve">Note: Development Years 1–3 (Vektor first). Tenzor clients from Year 4 only. Numbers to be updated as Vektor Proof Partners go-live and Series A timeline becomes clear.</t>
  </si>
  <si>
    <t xml:space="preserve">  Tenzor Standard clients</t>
  </si>
  <si>
    <t xml:space="preserve">  Tenzor Growth clients</t>
  </si>
  <si>
    <t xml:space="preserve">  Tenzor Institutional clients</t>
  </si>
  <si>
    <t xml:space="preserve">TENZOR ADDITIONAL COSTS FROM SERIES A (USD/year)</t>
  </si>
  <si>
    <t xml:space="preserve">  Additional team (est. +8 people from Y3)</t>
  </si>
  <si>
    <t xml:space="preserve">  Additional infrastructure</t>
  </si>
  <si>
    <t xml:space="preserve">  Legal + compliance (Tenzor-specific)</t>
  </si>
  <si>
    <t xml:space="preserve">  Additional sales + marketing</t>
  </si>
  <si>
    <t xml:space="preserve">TENZOR REVENUE (USD)</t>
  </si>
  <si>
    <t xml:space="preserve">  Tenzor Standard revenue</t>
  </si>
  <si>
    <t xml:space="preserve">  Tenzor Growth revenue</t>
  </si>
  <si>
    <t xml:space="preserve">  Tenzor Institutional revenue</t>
  </si>
  <si>
    <t xml:space="preserve">Tenzor Revenue Total</t>
  </si>
  <si>
    <t xml:space="preserve">Tenzor Additional Costs Total</t>
  </si>
  <si>
    <t xml:space="preserve">COMBINED MODEL — VEKTOR (BASE CASE) + TENZOR</t>
  </si>
  <si>
    <t xml:space="preserve">(Conservative · Base Vektor + Conservative Tenzor)</t>
  </si>
  <si>
    <t xml:space="preserve">Vektor Revenue (Base Case)</t>
  </si>
  <si>
    <t xml:space="preserve">Tenzor Revenue</t>
  </si>
  <si>
    <t xml:space="preserve">Total Combined Revenue</t>
  </si>
  <si>
    <t xml:space="preserve">Vektor Operating Costs (Base Case)</t>
  </si>
  <si>
    <t xml:space="preserve">Tenzor Additional Costs</t>
  </si>
  <si>
    <t xml:space="preserve">Total Combined Costs</t>
  </si>
  <si>
    <t xml:space="preserve">Combined EBITDA</t>
  </si>
  <si>
    <t xml:space="preserve">Combined EBITDA margin</t>
  </si>
  <si>
    <t xml:space="preserve">SERIES A — CONTEXT</t>
  </si>
  <si>
    <t xml:space="preserve">  Series A target</t>
  </si>
  <si>
    <t xml:space="preserve">US$4M – US$5M (indicative) · to fund Tenzor development + expanded team</t>
  </si>
  <si>
    <t xml:space="preserve">  Trigger milestone</t>
  </si>
  <si>
    <t xml:space="preserve">First Vektor Proof Partners go-live · Alloy Partners Stage 2 active · Tenzor design phase complete</t>
  </si>
  <si>
    <t xml:space="preserve">  Primary use</t>
  </si>
  <si>
    <t xml:space="preserve">Tenzor development team · extended infrastructure · expanded sales &amp; marketing</t>
  </si>
  <si>
    <t xml:space="preserve">  Seed runway to A</t>
  </si>
  <si>
    <t xml:space="preserve">18–24 months from seed close to Series A milestone</t>
  </si>
  <si>
    <t xml:space="preserve">All Tenzor figures are indicative and will be updated following Vektor commercial launch and first Proof Partners go-live. Methodology, signal generation, and audit trail are identical in Vektor and Tenzor deployments.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</si>
</sst>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;\(#,##0\);\-"/>
    <numFmt numFmtId="167" formatCode="#,##0"/>
    <numFmt numFmtId="168" formatCode="\$#,##0;&quot;($&quot;#,##0\);\-"/>
    <numFmt numFmtId="169" formatCode="0.0%;\(0.0%\);\-"/>
    <numFmt numFmtId="170" formatCode="#,##0;\(#,##0\);\-"/>
    <numFmt numFmtId="171" formatCode="0.0%;\(0.0%\);\-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85D155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00"/>
      <name val="Arial"/>
      <family val="0"/>
      <charset val="1"/>
    </font>
    <font>
      <b val="true"/>
      <sz val="10"/>
      <color rgb="FF85D155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10"/>
      <color rgb="FF0A0A0A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8"/>
      <color rgb="FF44444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85D155"/>
      <name val="Arial"/>
      <family val="0"/>
      <charset val="1"/>
    </font>
    <font>
      <i val="true"/>
      <sz val="8"/>
      <color rgb="FFCC44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85D15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8"/>
      <color rgb="FF404040"/>
      <name val="Arial"/>
      <family val="0"/>
      <charset val="1"/>
    </font>
    <font>
      <sz val="9"/>
      <color rgb="FF85D1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0F7EA"/>
        <bgColor rgb="FFF0F0F0"/>
      </patternFill>
    </fill>
    <fill>
      <patternFill patternType="solid">
        <fgColor rgb="FFF0F0F0"/>
        <bgColor rgb="FFF0F7EA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4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0F7EA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5D155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444444"/>
      <rgbColor rgb="FFCC44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7" min="3" style="1" width="22"/>
    <col collapsed="false" customWidth="true" hidden="false" outlineLevel="0" max="8" min="8" style="1" width="3"/>
  </cols>
  <sheetData>
    <row r="2" customFormat="false" ht="30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9.5" hidden="false" customHeight="true" outlineLevel="0" collapsed="false">
      <c r="B3" s="3" t="s">
        <v>1</v>
      </c>
      <c r="C3" s="3"/>
      <c r="D3" s="3"/>
      <c r="E3" s="3"/>
      <c r="F3" s="3"/>
      <c r="G3" s="3"/>
    </row>
    <row r="4" customFormat="false" ht="13.5" hidden="false" customHeight="true" outlineLevel="0" collapsed="false">
      <c r="B4" s="4"/>
      <c r="C4" s="4"/>
      <c r="D4" s="4"/>
      <c r="E4" s="4"/>
      <c r="F4" s="4"/>
      <c r="G4" s="4"/>
    </row>
    <row r="6" customFormat="false" ht="15.75" hidden="false" customHeight="true" outlineLevel="0" collapsed="false">
      <c r="B6" s="5" t="s">
        <v>2</v>
      </c>
      <c r="C6" s="6" t="s">
        <v>3</v>
      </c>
      <c r="D6" s="6"/>
      <c r="E6" s="6"/>
      <c r="F6" s="6"/>
      <c r="G6" s="6"/>
    </row>
    <row r="7" customFormat="false" ht="15.75" hidden="false" customHeight="true" outlineLevel="0" collapsed="false">
      <c r="B7" s="5" t="s">
        <v>4</v>
      </c>
      <c r="C7" s="6" t="s">
        <v>5</v>
      </c>
      <c r="D7" s="6"/>
      <c r="E7" s="6"/>
      <c r="F7" s="6"/>
      <c r="G7" s="6"/>
    </row>
    <row r="8" customFormat="false" ht="15.75" hidden="false" customHeight="true" outlineLevel="0" collapsed="false">
      <c r="B8" s="5" t="s">
        <v>6</v>
      </c>
      <c r="C8" s="6" t="s">
        <v>7</v>
      </c>
      <c r="D8" s="6"/>
      <c r="E8" s="6"/>
      <c r="F8" s="6"/>
      <c r="G8" s="6"/>
    </row>
    <row r="9" customFormat="false" ht="15.75" hidden="false" customHeight="true" outlineLevel="0" collapsed="false">
      <c r="B9" s="5" t="s">
        <v>8</v>
      </c>
      <c r="C9" s="6" t="s">
        <v>9</v>
      </c>
      <c r="D9" s="6"/>
      <c r="E9" s="6"/>
      <c r="F9" s="6"/>
      <c r="G9" s="6"/>
    </row>
    <row r="10" customFormat="false" ht="15.75" hidden="false" customHeight="true" outlineLevel="0" collapsed="false">
      <c r="B10" s="5" t="s">
        <v>10</v>
      </c>
      <c r="C10" s="6" t="s">
        <v>11</v>
      </c>
      <c r="D10" s="6"/>
      <c r="E10" s="6"/>
      <c r="F10" s="6"/>
      <c r="G10" s="6"/>
    </row>
    <row r="11" customFormat="false" ht="15.75" hidden="false" customHeight="true" outlineLevel="0" collapsed="false">
      <c r="B11" s="5" t="s">
        <v>12</v>
      </c>
      <c r="C11" s="6" t="s">
        <v>13</v>
      </c>
      <c r="D11" s="6"/>
      <c r="E11" s="6"/>
      <c r="F11" s="6"/>
      <c r="G11" s="6"/>
    </row>
    <row r="12" customFormat="false" ht="15.75" hidden="false" customHeight="true" outlineLevel="0" collapsed="false">
      <c r="B12" s="5" t="s">
        <v>14</v>
      </c>
      <c r="C12" s="6" t="s">
        <v>15</v>
      </c>
      <c r="D12" s="6"/>
      <c r="E12" s="6"/>
      <c r="F12" s="6"/>
      <c r="G12" s="6"/>
    </row>
    <row r="14" customFormat="false" ht="18" hidden="false" customHeight="true" outlineLevel="0" collapsed="false">
      <c r="B14" s="7" t="s">
        <v>16</v>
      </c>
      <c r="C14" s="7"/>
      <c r="D14" s="7"/>
      <c r="E14" s="7"/>
      <c r="F14" s="7"/>
      <c r="G14" s="7"/>
    </row>
    <row r="15" customFormat="false" ht="15.75" hidden="false" customHeight="true" outlineLevel="0" collapsed="false">
      <c r="B15" s="8" t="s">
        <v>17</v>
      </c>
      <c r="C15" s="6" t="s">
        <v>18</v>
      </c>
      <c r="D15" s="6"/>
      <c r="E15" s="6"/>
      <c r="F15" s="6"/>
      <c r="G15" s="6"/>
    </row>
    <row r="16" customFormat="false" ht="15.75" hidden="false" customHeight="true" outlineLevel="0" collapsed="false">
      <c r="B16" s="9" t="s">
        <v>19</v>
      </c>
      <c r="C16" s="6" t="s">
        <v>20</v>
      </c>
      <c r="D16" s="6"/>
      <c r="E16" s="6"/>
      <c r="F16" s="6"/>
      <c r="G16" s="6"/>
    </row>
    <row r="17" customFormat="false" ht="15.75" hidden="false" customHeight="true" outlineLevel="0" collapsed="false">
      <c r="B17" s="10" t="s">
        <v>21</v>
      </c>
      <c r="C17" s="6" t="s">
        <v>22</v>
      </c>
      <c r="D17" s="6"/>
      <c r="E17" s="6"/>
      <c r="F17" s="6"/>
      <c r="G17" s="6"/>
    </row>
    <row r="18" customFormat="false" ht="15.75" hidden="false" customHeight="true" outlineLevel="0" collapsed="false">
      <c r="B18" s="11" t="s">
        <v>23</v>
      </c>
      <c r="C18" s="6" t="s">
        <v>24</v>
      </c>
      <c r="D18" s="6"/>
      <c r="E18" s="6"/>
      <c r="F18" s="6"/>
      <c r="G18" s="6"/>
    </row>
    <row r="20" customFormat="false" ht="18" hidden="false" customHeight="true" outlineLevel="0" collapsed="false">
      <c r="B20" s="7" t="s">
        <v>25</v>
      </c>
      <c r="C20" s="7"/>
      <c r="D20" s="7"/>
      <c r="E20" s="7"/>
      <c r="F20" s="7"/>
      <c r="G20" s="7"/>
    </row>
    <row r="21" customFormat="false" ht="15.75" hidden="false" customHeight="true" outlineLevel="0" collapsed="false">
      <c r="B21" s="12" t="s">
        <v>26</v>
      </c>
      <c r="C21" s="13" t="s">
        <v>27</v>
      </c>
      <c r="D21" s="13"/>
      <c r="E21" s="13"/>
      <c r="F21" s="13"/>
      <c r="G21" s="13"/>
    </row>
    <row r="22" customFormat="false" ht="15.75" hidden="false" customHeight="true" outlineLevel="0" collapsed="false">
      <c r="B22" s="12" t="s">
        <v>28</v>
      </c>
      <c r="C22" s="13" t="s">
        <v>29</v>
      </c>
      <c r="D22" s="13"/>
      <c r="E22" s="13"/>
      <c r="F22" s="13"/>
      <c r="G22" s="13"/>
    </row>
    <row r="23" customFormat="false" ht="15.75" hidden="false" customHeight="true" outlineLevel="0" collapsed="false">
      <c r="B23" s="12" t="s">
        <v>30</v>
      </c>
      <c r="C23" s="13" t="s">
        <v>31</v>
      </c>
      <c r="D23" s="13"/>
      <c r="E23" s="13"/>
      <c r="F23" s="13"/>
      <c r="G23" s="13"/>
    </row>
    <row r="25" customFormat="false" ht="13.5" hidden="false" customHeight="true" outlineLevel="0" collapsed="false">
      <c r="B25" s="14" t="s">
        <v>32</v>
      </c>
      <c r="C25" s="14"/>
      <c r="D25" s="14"/>
      <c r="E25" s="14"/>
      <c r="F25" s="14"/>
      <c r="G25" s="14"/>
    </row>
    <row r="27" customFormat="false" ht="15" hidden="false" customHeight="true" outlineLevel="0" collapsed="false">
      <c r="B27" s="15" t="s">
        <v>33</v>
      </c>
      <c r="C27" s="16" t="s">
        <v>34</v>
      </c>
    </row>
  </sheetData>
  <mergeCells count="19">
    <mergeCell ref="B2:G2"/>
    <mergeCell ref="B3:G3"/>
    <mergeCell ref="C6:G6"/>
    <mergeCell ref="C7:G7"/>
    <mergeCell ref="C8:G8"/>
    <mergeCell ref="C9:G9"/>
    <mergeCell ref="C10:G10"/>
    <mergeCell ref="C11:G11"/>
    <mergeCell ref="C12:G12"/>
    <mergeCell ref="B14:G14"/>
    <mergeCell ref="C15:G15"/>
    <mergeCell ref="C16:G16"/>
    <mergeCell ref="C17:G17"/>
    <mergeCell ref="C18:G18"/>
    <mergeCell ref="B20:G20"/>
    <mergeCell ref="C21:G21"/>
    <mergeCell ref="C22:G22"/>
    <mergeCell ref="C23:G23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5" min="3" style="1" width="18"/>
    <col collapsed="false" customWidth="true" hidden="false" outlineLevel="0" max="6" min="6" style="1" width="5"/>
  </cols>
  <sheetData>
    <row r="1" customFormat="false" ht="19.5" hidden="false" customHeight="true" outlineLevel="0" collapsed="false">
      <c r="A1" s="17"/>
      <c r="B1" s="17" t="s">
        <v>35</v>
      </c>
      <c r="C1" s="17" t="s">
        <v>36</v>
      </c>
      <c r="D1" s="17" t="s">
        <v>37</v>
      </c>
      <c r="E1" s="17" t="s">
        <v>38</v>
      </c>
      <c r="F1" s="17"/>
    </row>
    <row r="3" customFormat="false" ht="15" hidden="false" customHeight="true" outlineLevel="0" collapsed="false">
      <c r="B3" s="18" t="s">
        <v>39</v>
      </c>
      <c r="C3" s="18"/>
      <c r="D3" s="18"/>
      <c r="E3" s="18"/>
    </row>
    <row r="4" customFormat="false" ht="15" hidden="false" customHeight="true" outlineLevel="0" collapsed="false">
      <c r="B4" s="19" t="s">
        <v>40</v>
      </c>
      <c r="C4" s="20" t="n">
        <v>13500</v>
      </c>
      <c r="D4" s="20" t="n">
        <v>13500</v>
      </c>
      <c r="E4" s="20" t="n">
        <v>13500</v>
      </c>
    </row>
    <row r="5" customFormat="false" ht="15" hidden="false" customHeight="true" outlineLevel="0" collapsed="false">
      <c r="B5" s="21" t="s">
        <v>41</v>
      </c>
      <c r="C5" s="22" t="n">
        <v>23400</v>
      </c>
      <c r="D5" s="22" t="n">
        <v>23400</v>
      </c>
      <c r="E5" s="22" t="n">
        <v>23400</v>
      </c>
      <c r="F5" s="23" t="s">
        <v>42</v>
      </c>
    </row>
    <row r="6" customFormat="false" ht="15" hidden="false" customHeight="true" outlineLevel="0" collapsed="false">
      <c r="B6" s="24" t="s">
        <v>43</v>
      </c>
      <c r="C6" s="20" t="n">
        <v>18000</v>
      </c>
      <c r="D6" s="20" t="n">
        <v>18000</v>
      </c>
      <c r="E6" s="20" t="n">
        <v>18000</v>
      </c>
    </row>
    <row r="7" customFormat="false" ht="15" hidden="false" customHeight="true" outlineLevel="0" collapsed="false">
      <c r="B7" s="24" t="s">
        <v>44</v>
      </c>
      <c r="C7" s="20" t="n">
        <v>36000</v>
      </c>
      <c r="D7" s="20" t="n">
        <v>36000</v>
      </c>
      <c r="E7" s="20" t="n">
        <v>36000</v>
      </c>
    </row>
    <row r="8" customFormat="false" ht="15" hidden="false" customHeight="true" outlineLevel="0" collapsed="false">
      <c r="B8" s="24" t="s">
        <v>45</v>
      </c>
      <c r="C8" s="20" t="n">
        <v>105000</v>
      </c>
      <c r="D8" s="20" t="n">
        <v>105000</v>
      </c>
      <c r="E8" s="20" t="n">
        <v>105000</v>
      </c>
    </row>
    <row r="9" customFormat="false" ht="15" hidden="false" customHeight="true" outlineLevel="0" collapsed="false">
      <c r="B9" s="24" t="s">
        <v>46</v>
      </c>
      <c r="C9" s="20" t="n">
        <v>175000</v>
      </c>
      <c r="D9" s="20" t="n">
        <v>175000</v>
      </c>
      <c r="E9" s="20" t="n">
        <v>175000</v>
      </c>
    </row>
    <row r="10" customFormat="false" ht="15" hidden="false" customHeight="true" outlineLevel="0" collapsed="false">
      <c r="B10" s="24" t="s">
        <v>47</v>
      </c>
      <c r="C10" s="20" t="n">
        <v>31980</v>
      </c>
      <c r="D10" s="20" t="n">
        <v>31980</v>
      </c>
      <c r="E10" s="20" t="n">
        <v>31980</v>
      </c>
    </row>
    <row r="11" customFormat="false" ht="15" hidden="false" customHeight="true" outlineLevel="0" collapsed="false">
      <c r="B11" s="25"/>
      <c r="C11" s="25"/>
      <c r="D11" s="25"/>
      <c r="E11" s="25"/>
    </row>
    <row r="12" customFormat="false" ht="15" hidden="false" customHeight="true" outlineLevel="0" collapsed="false">
      <c r="B12" s="26" t="s">
        <v>48</v>
      </c>
    </row>
    <row r="13" customFormat="false" ht="15" hidden="false" customHeight="true" outlineLevel="0" collapsed="false">
      <c r="B13" s="24" t="s">
        <v>49</v>
      </c>
      <c r="C13" s="27" t="n">
        <v>55</v>
      </c>
      <c r="D13" s="27" t="n">
        <v>55</v>
      </c>
      <c r="E13" s="27" t="n">
        <v>55</v>
      </c>
    </row>
    <row r="14" customFormat="false" ht="15" hidden="false" customHeight="true" outlineLevel="0" collapsed="false">
      <c r="B14" s="24" t="s">
        <v>50</v>
      </c>
      <c r="C14" s="27" t="n">
        <v>185</v>
      </c>
      <c r="D14" s="27" t="n">
        <v>185</v>
      </c>
      <c r="E14" s="27" t="n">
        <v>185</v>
      </c>
    </row>
    <row r="15" customFormat="false" ht="15" hidden="false" customHeight="true" outlineLevel="0" collapsed="false">
      <c r="B15" s="24" t="s">
        <v>51</v>
      </c>
      <c r="C15" s="27" t="n">
        <v>550</v>
      </c>
      <c r="D15" s="27" t="n">
        <v>550</v>
      </c>
      <c r="E15" s="27" t="n">
        <v>550</v>
      </c>
    </row>
    <row r="16" customFormat="false" ht="15" hidden="false" customHeight="true" outlineLevel="0" collapsed="false">
      <c r="B16" s="25"/>
      <c r="C16" s="25"/>
      <c r="D16" s="25"/>
      <c r="E16" s="25"/>
    </row>
    <row r="17" customFormat="false" ht="15" hidden="false" customHeight="true" outlineLevel="0" collapsed="false">
      <c r="B17" s="26" t="s">
        <v>52</v>
      </c>
    </row>
    <row r="18" customFormat="false" ht="15" hidden="false" customHeight="true" outlineLevel="0" collapsed="false">
      <c r="B18" s="24"/>
      <c r="C18" s="28" t="s">
        <v>36</v>
      </c>
      <c r="D18" s="28" t="s">
        <v>37</v>
      </c>
      <c r="E18" s="28" t="s">
        <v>38</v>
      </c>
    </row>
    <row r="19" customFormat="false" ht="15" hidden="false" customHeight="true" outlineLevel="0" collapsed="false">
      <c r="B19" s="24" t="s">
        <v>53</v>
      </c>
      <c r="C19" s="27" t="n">
        <v>3</v>
      </c>
      <c r="D19" s="27" t="n">
        <v>2</v>
      </c>
      <c r="E19" s="27" t="n">
        <v>5</v>
      </c>
      <c r="F19" s="23" t="s">
        <v>54</v>
      </c>
    </row>
    <row r="20" customFormat="false" ht="15" hidden="false" customHeight="true" outlineLevel="0" collapsed="false">
      <c r="B20" s="24" t="s">
        <v>55</v>
      </c>
      <c r="C20" s="27" t="n">
        <v>3</v>
      </c>
      <c r="D20" s="27" t="n">
        <v>2</v>
      </c>
      <c r="E20" s="27" t="n">
        <v>5</v>
      </c>
    </row>
    <row r="21" customFormat="false" ht="15" hidden="false" customHeight="true" outlineLevel="0" collapsed="false">
      <c r="B21" s="24" t="s">
        <v>56</v>
      </c>
      <c r="C21" s="27" t="n">
        <v>3</v>
      </c>
      <c r="D21" s="27" t="n">
        <v>2</v>
      </c>
      <c r="E21" s="27" t="n">
        <v>5</v>
      </c>
    </row>
    <row r="22" customFormat="false" ht="15" hidden="false" customHeight="true" outlineLevel="0" collapsed="false">
      <c r="B22" s="24" t="s">
        <v>57</v>
      </c>
      <c r="C22" s="27" t="n">
        <v>0</v>
      </c>
      <c r="D22" s="27" t="n">
        <v>0</v>
      </c>
      <c r="E22" s="27" t="n">
        <v>0</v>
      </c>
    </row>
    <row r="23" customFormat="false" ht="15" hidden="false" customHeight="true" outlineLevel="0" collapsed="false">
      <c r="B23" s="24" t="s">
        <v>58</v>
      </c>
      <c r="C23" s="27" t="n">
        <v>0</v>
      </c>
      <c r="D23" s="27" t="n">
        <v>0</v>
      </c>
      <c r="E23" s="27" t="n">
        <v>0</v>
      </c>
    </row>
    <row r="24" customFormat="false" ht="15" hidden="false" customHeight="true" outlineLevel="0" collapsed="false">
      <c r="B24" s="24" t="s">
        <v>59</v>
      </c>
      <c r="C24" s="27" t="n">
        <v>2</v>
      </c>
      <c r="D24" s="27" t="n">
        <v>1</v>
      </c>
      <c r="E24" s="27" t="n">
        <v>4</v>
      </c>
    </row>
    <row r="25" customFormat="false" ht="15" hidden="false" customHeight="true" outlineLevel="0" collapsed="false">
      <c r="B25" s="24" t="s">
        <v>60</v>
      </c>
      <c r="C25" s="27" t="n">
        <v>5</v>
      </c>
      <c r="D25" s="27" t="n">
        <v>3</v>
      </c>
      <c r="E25" s="27" t="n">
        <v>8</v>
      </c>
    </row>
    <row r="26" customFormat="false" ht="15" hidden="false" customHeight="true" outlineLevel="0" collapsed="false">
      <c r="B26" s="24" t="s">
        <v>61</v>
      </c>
      <c r="C26" s="27" t="n">
        <v>8</v>
      </c>
      <c r="D26" s="27" t="n">
        <v>5</v>
      </c>
      <c r="E26" s="27" t="n">
        <v>14</v>
      </c>
    </row>
    <row r="27" customFormat="false" ht="15" hidden="false" customHeight="true" outlineLevel="0" collapsed="false">
      <c r="B27" s="24" t="s">
        <v>62</v>
      </c>
      <c r="C27" s="27" t="n">
        <v>11</v>
      </c>
      <c r="D27" s="27" t="n">
        <v>7</v>
      </c>
      <c r="E27" s="27" t="n">
        <v>20</v>
      </c>
    </row>
    <row r="28" customFormat="false" ht="15" hidden="false" customHeight="true" outlineLevel="0" collapsed="false">
      <c r="B28" s="24" t="s">
        <v>63</v>
      </c>
      <c r="C28" s="27" t="n">
        <v>14</v>
      </c>
      <c r="D28" s="27" t="n">
        <v>9</v>
      </c>
      <c r="E28" s="27" t="n">
        <v>26</v>
      </c>
    </row>
    <row r="29" customFormat="false" ht="15" hidden="false" customHeight="true" outlineLevel="0" collapsed="false">
      <c r="B29" s="24" t="s">
        <v>64</v>
      </c>
      <c r="C29" s="27" t="n">
        <v>0</v>
      </c>
      <c r="D29" s="27" t="n">
        <v>0</v>
      </c>
      <c r="E29" s="27" t="n">
        <v>1</v>
      </c>
    </row>
    <row r="30" customFormat="false" ht="15" hidden="false" customHeight="true" outlineLevel="0" collapsed="false">
      <c r="B30" s="24" t="s">
        <v>65</v>
      </c>
      <c r="C30" s="27" t="n">
        <v>1</v>
      </c>
      <c r="D30" s="27" t="n">
        <v>0</v>
      </c>
      <c r="E30" s="27" t="n">
        <v>2</v>
      </c>
    </row>
    <row r="31" customFormat="false" ht="15" hidden="false" customHeight="true" outlineLevel="0" collapsed="false">
      <c r="B31" s="24" t="s">
        <v>66</v>
      </c>
      <c r="C31" s="27" t="n">
        <v>3</v>
      </c>
      <c r="D31" s="27" t="n">
        <v>1</v>
      </c>
      <c r="E31" s="27" t="n">
        <v>5</v>
      </c>
    </row>
    <row r="32" customFormat="false" ht="15" hidden="false" customHeight="true" outlineLevel="0" collapsed="false">
      <c r="B32" s="24" t="s">
        <v>67</v>
      </c>
      <c r="C32" s="27" t="n">
        <v>5</v>
      </c>
      <c r="D32" s="27" t="n">
        <v>2</v>
      </c>
      <c r="E32" s="27" t="n">
        <v>8</v>
      </c>
    </row>
    <row r="33" customFormat="false" ht="15" hidden="false" customHeight="true" outlineLevel="0" collapsed="false">
      <c r="B33" s="24" t="s">
        <v>68</v>
      </c>
      <c r="C33" s="27" t="n">
        <v>8</v>
      </c>
      <c r="D33" s="27" t="n">
        <v>4</v>
      </c>
      <c r="E33" s="27" t="n">
        <v>12</v>
      </c>
    </row>
    <row r="34" customFormat="false" ht="15" hidden="false" customHeight="true" outlineLevel="0" collapsed="false">
      <c r="B34" s="24" t="s">
        <v>69</v>
      </c>
      <c r="C34" s="27" t="n">
        <v>0</v>
      </c>
      <c r="D34" s="27" t="n">
        <v>0</v>
      </c>
      <c r="E34" s="27" t="n">
        <v>0</v>
      </c>
    </row>
    <row r="35" customFormat="false" ht="15" hidden="false" customHeight="true" outlineLevel="0" collapsed="false">
      <c r="B35" s="24" t="s">
        <v>70</v>
      </c>
      <c r="C35" s="27" t="n">
        <v>0</v>
      </c>
      <c r="D35" s="27" t="n">
        <v>0</v>
      </c>
      <c r="E35" s="27" t="n">
        <v>1</v>
      </c>
    </row>
    <row r="36" customFormat="false" ht="15" hidden="false" customHeight="true" outlineLevel="0" collapsed="false">
      <c r="B36" s="24" t="s">
        <v>71</v>
      </c>
      <c r="C36" s="27" t="n">
        <v>1</v>
      </c>
      <c r="D36" s="27" t="n">
        <v>0</v>
      </c>
      <c r="E36" s="27" t="n">
        <v>2</v>
      </c>
    </row>
    <row r="37" customFormat="false" ht="15" hidden="false" customHeight="true" outlineLevel="0" collapsed="false">
      <c r="B37" s="24" t="s">
        <v>72</v>
      </c>
      <c r="C37" s="27" t="n">
        <v>2</v>
      </c>
      <c r="D37" s="27" t="n">
        <v>1</v>
      </c>
      <c r="E37" s="27" t="n">
        <v>4</v>
      </c>
    </row>
    <row r="38" customFormat="false" ht="15" hidden="false" customHeight="true" outlineLevel="0" collapsed="false">
      <c r="B38" s="24" t="s">
        <v>73</v>
      </c>
      <c r="C38" s="27" t="n">
        <v>4</v>
      </c>
      <c r="D38" s="27" t="n">
        <v>2</v>
      </c>
      <c r="E38" s="27" t="n">
        <v>6</v>
      </c>
    </row>
    <row r="39" customFormat="false" ht="15" hidden="false" customHeight="true" outlineLevel="0" collapsed="false">
      <c r="B39" s="24" t="s">
        <v>74</v>
      </c>
      <c r="C39" s="27" t="n">
        <v>0</v>
      </c>
      <c r="D39" s="27" t="n">
        <v>0</v>
      </c>
      <c r="E39" s="27" t="n">
        <v>0</v>
      </c>
    </row>
    <row r="40" customFormat="false" ht="15" hidden="false" customHeight="true" outlineLevel="0" collapsed="false">
      <c r="B40" s="24" t="s">
        <v>75</v>
      </c>
      <c r="C40" s="27" t="n">
        <v>0</v>
      </c>
      <c r="D40" s="27" t="n">
        <v>0</v>
      </c>
      <c r="E40" s="27" t="n">
        <v>0</v>
      </c>
    </row>
    <row r="41" customFormat="false" ht="15" hidden="false" customHeight="true" outlineLevel="0" collapsed="false">
      <c r="B41" s="24" t="s">
        <v>76</v>
      </c>
      <c r="C41" s="27" t="n">
        <v>0</v>
      </c>
      <c r="D41" s="27" t="n">
        <v>0</v>
      </c>
      <c r="E41" s="27" t="n">
        <v>1</v>
      </c>
    </row>
    <row r="42" customFormat="false" ht="15" hidden="false" customHeight="true" outlineLevel="0" collapsed="false">
      <c r="B42" s="24" t="s">
        <v>77</v>
      </c>
      <c r="C42" s="27" t="n">
        <v>1</v>
      </c>
      <c r="D42" s="27" t="n">
        <v>0</v>
      </c>
      <c r="E42" s="27" t="n">
        <v>2</v>
      </c>
    </row>
    <row r="43" customFormat="false" ht="15" hidden="false" customHeight="true" outlineLevel="0" collapsed="false">
      <c r="B43" s="24" t="s">
        <v>78</v>
      </c>
      <c r="C43" s="27" t="n">
        <v>2</v>
      </c>
      <c r="D43" s="27" t="n">
        <v>1</v>
      </c>
      <c r="E43" s="27" t="n">
        <v>3</v>
      </c>
    </row>
    <row r="44" customFormat="false" ht="15" hidden="false" customHeight="true" outlineLevel="0" collapsed="false">
      <c r="B44" s="25"/>
      <c r="C44" s="25"/>
      <c r="D44" s="25"/>
      <c r="E44" s="25"/>
    </row>
    <row r="45" customFormat="false" ht="15" hidden="false" customHeight="true" outlineLevel="0" collapsed="false">
      <c r="B45" s="26" t="s">
        <v>79</v>
      </c>
    </row>
    <row r="46" customFormat="false" ht="15" hidden="false" customHeight="true" outlineLevel="0" collapsed="false">
      <c r="B46" s="24" t="s">
        <v>80</v>
      </c>
      <c r="C46" s="27" t="n">
        <v>2</v>
      </c>
      <c r="D46" s="27" t="n">
        <v>1</v>
      </c>
      <c r="E46" s="27" t="n">
        <v>3</v>
      </c>
    </row>
    <row r="47" customFormat="false" ht="15" hidden="false" customHeight="true" outlineLevel="0" collapsed="false">
      <c r="B47" s="24" t="s">
        <v>81</v>
      </c>
      <c r="C47" s="27" t="n">
        <v>0</v>
      </c>
      <c r="D47" s="27" t="n">
        <v>0</v>
      </c>
      <c r="E47" s="27" t="n">
        <v>0</v>
      </c>
    </row>
    <row r="48" customFormat="false" ht="15" hidden="false" customHeight="true" outlineLevel="0" collapsed="false">
      <c r="B48" s="24" t="s">
        <v>82</v>
      </c>
      <c r="C48" s="27" t="n">
        <v>0</v>
      </c>
      <c r="D48" s="27" t="n">
        <v>0</v>
      </c>
      <c r="E48" s="27" t="n">
        <v>0</v>
      </c>
    </row>
    <row r="49" customFormat="false" ht="15" hidden="false" customHeight="true" outlineLevel="0" collapsed="false">
      <c r="B49" s="24" t="s">
        <v>83</v>
      </c>
      <c r="C49" s="27" t="n">
        <v>0</v>
      </c>
      <c r="D49" s="27" t="n">
        <v>0</v>
      </c>
      <c r="E49" s="27" t="n">
        <v>0</v>
      </c>
    </row>
    <row r="50" customFormat="false" ht="15" hidden="false" customHeight="true" outlineLevel="0" collapsed="false">
      <c r="B50" s="24" t="s">
        <v>84</v>
      </c>
      <c r="C50" s="27" t="n">
        <v>0</v>
      </c>
      <c r="D50" s="27" t="n">
        <v>0</v>
      </c>
      <c r="E50" s="27" t="n">
        <v>0</v>
      </c>
    </row>
    <row r="51" customFormat="false" ht="15" hidden="false" customHeight="true" outlineLevel="0" collapsed="false">
      <c r="B51" s="24" t="s">
        <v>85</v>
      </c>
      <c r="C51" s="27" t="n">
        <v>0</v>
      </c>
      <c r="D51" s="27" t="n">
        <v>0</v>
      </c>
      <c r="E51" s="27" t="n">
        <v>0</v>
      </c>
    </row>
    <row r="52" customFormat="false" ht="15" hidden="false" customHeight="true" outlineLevel="0" collapsed="false">
      <c r="B52" s="24" t="s">
        <v>86</v>
      </c>
      <c r="C52" s="27" t="n">
        <v>1</v>
      </c>
      <c r="D52" s="27" t="n">
        <v>0</v>
      </c>
      <c r="E52" s="27" t="n">
        <v>1</v>
      </c>
    </row>
    <row r="53" customFormat="false" ht="15" hidden="false" customHeight="true" outlineLevel="0" collapsed="false">
      <c r="B53" s="24" t="s">
        <v>87</v>
      </c>
      <c r="C53" s="27" t="n">
        <v>0</v>
      </c>
      <c r="D53" s="27" t="n">
        <v>0</v>
      </c>
      <c r="E53" s="27" t="n">
        <v>0</v>
      </c>
    </row>
    <row r="54" customFormat="false" ht="15" hidden="false" customHeight="true" outlineLevel="0" collapsed="false">
      <c r="B54" s="24" t="s">
        <v>88</v>
      </c>
      <c r="C54" s="27" t="n">
        <v>0</v>
      </c>
      <c r="D54" s="27" t="n">
        <v>0</v>
      </c>
      <c r="E54" s="27" t="n">
        <v>0</v>
      </c>
    </row>
    <row r="55" customFormat="false" ht="15" hidden="false" customHeight="true" outlineLevel="0" collapsed="false">
      <c r="B55" s="24" t="s">
        <v>89</v>
      </c>
      <c r="C55" s="27" t="n">
        <v>0</v>
      </c>
      <c r="D55" s="27" t="n">
        <v>0</v>
      </c>
      <c r="E55" s="27" t="n">
        <v>0</v>
      </c>
    </row>
    <row r="56" customFormat="false" ht="15" hidden="false" customHeight="true" outlineLevel="0" collapsed="false">
      <c r="B56" s="24" t="s">
        <v>90</v>
      </c>
      <c r="C56" s="27" t="n">
        <v>0</v>
      </c>
      <c r="D56" s="27" t="n">
        <v>0</v>
      </c>
      <c r="E56" s="27" t="n">
        <v>0</v>
      </c>
    </row>
    <row r="57" customFormat="false" ht="15" hidden="false" customHeight="true" outlineLevel="0" collapsed="false">
      <c r="B57" s="24" t="s">
        <v>91</v>
      </c>
      <c r="C57" s="27" t="n">
        <v>0</v>
      </c>
      <c r="D57" s="27" t="n">
        <v>0</v>
      </c>
      <c r="E57" s="27" t="n">
        <v>0</v>
      </c>
    </row>
    <row r="58" customFormat="false" ht="15" hidden="false" customHeight="true" outlineLevel="0" collapsed="false">
      <c r="B58" s="24" t="s">
        <v>92</v>
      </c>
      <c r="C58" s="27" t="n">
        <v>1</v>
      </c>
      <c r="D58" s="27" t="n">
        <v>0</v>
      </c>
      <c r="E58" s="27" t="n">
        <v>2</v>
      </c>
    </row>
    <row r="59" customFormat="false" ht="15" hidden="false" customHeight="true" outlineLevel="0" collapsed="false">
      <c r="B59" s="24" t="s">
        <v>93</v>
      </c>
      <c r="C59" s="27" t="n">
        <v>2</v>
      </c>
      <c r="D59" s="27" t="n">
        <v>1</v>
      </c>
      <c r="E59" s="27" t="n">
        <v>3</v>
      </c>
    </row>
    <row r="60" customFormat="false" ht="15" hidden="false" customHeight="true" outlineLevel="0" collapsed="false">
      <c r="B60" s="24" t="s">
        <v>94</v>
      </c>
      <c r="C60" s="27" t="n">
        <v>3</v>
      </c>
      <c r="D60" s="27" t="n">
        <v>2</v>
      </c>
      <c r="E60" s="27" t="n">
        <v>4</v>
      </c>
    </row>
    <row r="61" customFormat="false" ht="15" hidden="false" customHeight="true" outlineLevel="0" collapsed="false">
      <c r="B61" s="25"/>
      <c r="C61" s="25"/>
      <c r="D61" s="25"/>
      <c r="E61" s="25"/>
    </row>
    <row r="62" customFormat="false" ht="15" hidden="false" customHeight="true" outlineLevel="0" collapsed="false">
      <c r="B62" s="26" t="s">
        <v>95</v>
      </c>
    </row>
    <row r="63" customFormat="false" ht="15" hidden="false" customHeight="true" outlineLevel="0" collapsed="false">
      <c r="B63" s="24" t="s">
        <v>96</v>
      </c>
      <c r="C63" s="20" t="n">
        <v>250000</v>
      </c>
      <c r="D63" s="20" t="n">
        <v>200000</v>
      </c>
      <c r="E63" s="20" t="n">
        <v>300000</v>
      </c>
    </row>
    <row r="64" customFormat="false" ht="15" hidden="false" customHeight="true" outlineLevel="0" collapsed="false">
      <c r="B64" s="25"/>
      <c r="C64" s="25"/>
      <c r="D64" s="25"/>
      <c r="E64" s="25"/>
    </row>
    <row r="65" customFormat="false" ht="15" hidden="false" customHeight="true" outlineLevel="0" collapsed="false">
      <c r="B65" s="26" t="s">
        <v>97</v>
      </c>
    </row>
    <row r="66" customFormat="false" ht="15" hidden="false" customHeight="true" outlineLevel="0" collapsed="false">
      <c r="B66" s="24" t="s">
        <v>98</v>
      </c>
      <c r="C66" s="27" t="n">
        <v>0</v>
      </c>
      <c r="D66" s="27" t="n">
        <v>0</v>
      </c>
      <c r="E66" s="27" t="n">
        <v>0</v>
      </c>
    </row>
    <row r="67" customFormat="false" ht="15" hidden="false" customHeight="true" outlineLevel="0" collapsed="false">
      <c r="B67" s="24" t="s">
        <v>99</v>
      </c>
      <c r="C67" s="27" t="n">
        <v>0</v>
      </c>
      <c r="D67" s="27" t="n">
        <v>0</v>
      </c>
      <c r="E67" s="27" t="n">
        <v>0</v>
      </c>
    </row>
    <row r="68" customFormat="false" ht="15" hidden="false" customHeight="true" outlineLevel="0" collapsed="false">
      <c r="B68" s="24" t="s">
        <v>100</v>
      </c>
      <c r="C68" s="27" t="n">
        <v>1</v>
      </c>
      <c r="D68" s="27" t="n">
        <v>0</v>
      </c>
      <c r="E68" s="27" t="n">
        <v>1</v>
      </c>
    </row>
    <row r="69" customFormat="false" ht="15" hidden="false" customHeight="true" outlineLevel="0" collapsed="false">
      <c r="B69" s="24" t="s">
        <v>101</v>
      </c>
      <c r="C69" s="27" t="n">
        <v>1</v>
      </c>
      <c r="D69" s="27" t="n">
        <v>0</v>
      </c>
      <c r="E69" s="27" t="n">
        <v>2</v>
      </c>
    </row>
    <row r="70" customFormat="false" ht="15" hidden="false" customHeight="true" outlineLevel="0" collapsed="false">
      <c r="B70" s="24" t="s">
        <v>102</v>
      </c>
      <c r="C70" s="27" t="n">
        <v>2</v>
      </c>
      <c r="D70" s="27" t="n">
        <v>1</v>
      </c>
      <c r="E70" s="27" t="n">
        <v>3</v>
      </c>
    </row>
    <row r="72" customFormat="false" ht="15" hidden="false" customHeight="true" outlineLevel="0" collapsed="false">
      <c r="B72" s="24" t="s">
        <v>103</v>
      </c>
      <c r="C72" s="20" t="n">
        <v>150000</v>
      </c>
      <c r="D72" s="20" t="n">
        <v>120000</v>
      </c>
      <c r="E72" s="20" t="n">
        <v>180000</v>
      </c>
    </row>
    <row r="73" customFormat="false" ht="15" hidden="false" customHeight="true" outlineLevel="0" collapsed="false">
      <c r="B73" s="24" t="s">
        <v>104</v>
      </c>
      <c r="C73" s="20" t="n">
        <v>2000</v>
      </c>
      <c r="D73" s="20" t="n">
        <v>1500</v>
      </c>
      <c r="E73" s="20" t="n">
        <v>2500</v>
      </c>
    </row>
    <row r="74" customFormat="false" ht="15" hidden="false" customHeight="true" outlineLevel="0" collapsed="false">
      <c r="B74" s="24" t="s">
        <v>105</v>
      </c>
      <c r="C74" s="27" t="n">
        <v>40</v>
      </c>
      <c r="D74" s="27" t="n">
        <v>25</v>
      </c>
      <c r="E74" s="27" t="n">
        <v>60</v>
      </c>
    </row>
    <row r="75" customFormat="false" ht="15" hidden="false" customHeight="true" outlineLevel="0" collapsed="false">
      <c r="B75" s="25"/>
      <c r="C75" s="25"/>
      <c r="D75" s="25"/>
      <c r="E75" s="25"/>
    </row>
    <row r="76" customFormat="false" ht="15" hidden="false" customHeight="true" outlineLevel="0" collapsed="false">
      <c r="B76" s="26" t="s">
        <v>106</v>
      </c>
    </row>
    <row r="77" customFormat="false" ht="15" hidden="false" customHeight="true" outlineLevel="0" collapsed="false">
      <c r="B77" s="24" t="s">
        <v>107</v>
      </c>
      <c r="C77" s="29" t="n">
        <v>1030000</v>
      </c>
      <c r="D77" s="29" t="n">
        <v>870000</v>
      </c>
      <c r="E77" s="29" t="n">
        <v>1195000</v>
      </c>
    </row>
    <row r="78" customFormat="false" ht="15" hidden="false" customHeight="true" outlineLevel="0" collapsed="false">
      <c r="B78" s="24" t="s">
        <v>108</v>
      </c>
      <c r="C78" s="20" t="n">
        <v>36000</v>
      </c>
      <c r="D78" s="20" t="n">
        <v>28000</v>
      </c>
      <c r="E78" s="20" t="n">
        <v>48000</v>
      </c>
    </row>
    <row r="79" customFormat="false" ht="15" hidden="false" customHeight="true" outlineLevel="0" collapsed="false">
      <c r="B79" s="24" t="s">
        <v>109</v>
      </c>
      <c r="C79" s="20" t="n">
        <v>60000</v>
      </c>
      <c r="D79" s="20" t="n">
        <v>45000</v>
      </c>
      <c r="E79" s="20" t="n">
        <v>80000</v>
      </c>
    </row>
    <row r="80" customFormat="false" ht="15" hidden="false" customHeight="true" outlineLevel="0" collapsed="false">
      <c r="B80" s="24" t="s">
        <v>110</v>
      </c>
      <c r="C80" s="20" t="n">
        <v>30000</v>
      </c>
      <c r="D80" s="20" t="n">
        <v>20000</v>
      </c>
      <c r="E80" s="20" t="n">
        <v>50000</v>
      </c>
    </row>
    <row r="81" customFormat="false" ht="15" hidden="false" customHeight="true" outlineLevel="0" collapsed="false">
      <c r="B81" s="24" t="s">
        <v>111</v>
      </c>
      <c r="C81" s="20" t="n">
        <v>24000</v>
      </c>
      <c r="D81" s="20" t="n">
        <v>18000</v>
      </c>
      <c r="E81" s="20" t="n">
        <v>32000</v>
      </c>
    </row>
    <row r="83" customFormat="false" ht="15" hidden="false" customHeight="true" outlineLevel="0" collapsed="false">
      <c r="B83" s="30" t="s">
        <v>112</v>
      </c>
      <c r="C83" s="30"/>
      <c r="D83" s="30"/>
      <c r="E83" s="30"/>
    </row>
    <row r="84" customFormat="false" ht="27.75" hidden="false" customHeight="true" outlineLevel="0" collapsed="false">
      <c r="B84" s="31" t="s">
        <v>113</v>
      </c>
    </row>
    <row r="86" customFormat="false" ht="15" hidden="false" customHeight="true" outlineLevel="0" collapsed="false">
      <c r="B86" s="32" t="s">
        <v>114</v>
      </c>
    </row>
    <row r="87" customFormat="false" ht="15" hidden="false" customHeight="true" outlineLevel="0" collapsed="false">
      <c r="B87" s="21" t="s">
        <v>115</v>
      </c>
      <c r="C87" s="33" t="n">
        <v>280000</v>
      </c>
      <c r="D87" s="33" t="n">
        <v>240000</v>
      </c>
      <c r="E87" s="33" t="n">
        <v>320000</v>
      </c>
    </row>
    <row r="88" customFormat="false" ht="15" hidden="false" customHeight="true" outlineLevel="0" collapsed="false">
      <c r="B88" s="21" t="s">
        <v>116</v>
      </c>
      <c r="C88" s="33" t="n">
        <v>240000</v>
      </c>
      <c r="D88" s="33" t="n">
        <v>200000</v>
      </c>
      <c r="E88" s="33" t="n">
        <v>280000</v>
      </c>
    </row>
    <row r="89" customFormat="false" ht="15" hidden="false" customHeight="true" outlineLevel="0" collapsed="false">
      <c r="B89" s="21" t="s">
        <v>117</v>
      </c>
      <c r="C89" s="33" t="n">
        <v>180000</v>
      </c>
      <c r="D89" s="33" t="n">
        <v>150000</v>
      </c>
      <c r="E89" s="33" t="n">
        <v>210000</v>
      </c>
    </row>
    <row r="90" customFormat="false" ht="15" hidden="false" customHeight="true" outlineLevel="0" collapsed="false">
      <c r="B90" s="21" t="s">
        <v>118</v>
      </c>
      <c r="C90" s="33" t="n">
        <v>180000</v>
      </c>
      <c r="D90" s="33" t="n">
        <v>150000</v>
      </c>
      <c r="E90" s="33" t="n">
        <v>210000</v>
      </c>
    </row>
    <row r="91" customFormat="false" ht="15" hidden="false" customHeight="true" outlineLevel="0" collapsed="false">
      <c r="B91" s="21" t="s">
        <v>119</v>
      </c>
      <c r="C91" s="33" t="n">
        <v>150000</v>
      </c>
      <c r="D91" s="33" t="n">
        <v>130000</v>
      </c>
      <c r="E91" s="33" t="n">
        <v>175000</v>
      </c>
    </row>
    <row r="92" customFormat="false" ht="15" hidden="false" customHeight="true" outlineLevel="0" collapsed="false">
      <c r="B92" s="34" t="s">
        <v>120</v>
      </c>
      <c r="C92" s="35" t="n">
        <f aca="false">SUM(C87:C91)</f>
        <v>1030000</v>
      </c>
      <c r="D92" s="35" t="n">
        <f aca="false">SUM(D87:D91)</f>
        <v>870000</v>
      </c>
      <c r="E92" s="35" t="n">
        <f aca="false">SUM(E87:E91)</f>
        <v>1195000</v>
      </c>
    </row>
    <row r="94" customFormat="false" ht="15" hidden="false" customHeight="true" outlineLevel="0" collapsed="false">
      <c r="B94" s="32" t="s">
        <v>121</v>
      </c>
    </row>
    <row r="95" customFormat="false" ht="15" hidden="false" customHeight="true" outlineLevel="0" collapsed="false">
      <c r="B95" s="21" t="s">
        <v>122</v>
      </c>
      <c r="C95" s="36" t="n">
        <v>280000</v>
      </c>
      <c r="D95" s="36" t="n">
        <v>240000</v>
      </c>
      <c r="E95" s="36" t="n">
        <v>320000</v>
      </c>
    </row>
    <row r="96" customFormat="false" ht="15" hidden="false" customHeight="true" outlineLevel="0" collapsed="false">
      <c r="B96" s="21" t="s">
        <v>123</v>
      </c>
      <c r="C96" s="36" t="n">
        <v>240000</v>
      </c>
      <c r="D96" s="36" t="n">
        <v>200000</v>
      </c>
      <c r="E96" s="36" t="n">
        <v>280000</v>
      </c>
    </row>
    <row r="97" customFormat="false" ht="15" hidden="false" customHeight="true" outlineLevel="0" collapsed="false">
      <c r="B97" s="21" t="s">
        <v>124</v>
      </c>
      <c r="C97" s="36" t="n">
        <v>180000</v>
      </c>
      <c r="D97" s="36" t="n">
        <v>150000</v>
      </c>
      <c r="E97" s="36" t="n">
        <v>210000</v>
      </c>
    </row>
    <row r="98" customFormat="false" ht="15" hidden="false" customHeight="true" outlineLevel="0" collapsed="false">
      <c r="B98" s="21" t="s">
        <v>125</v>
      </c>
      <c r="C98" s="36" t="n">
        <v>180000</v>
      </c>
      <c r="D98" s="36" t="n">
        <v>150000</v>
      </c>
      <c r="E98" s="36" t="n">
        <v>210000</v>
      </c>
    </row>
    <row r="99" customFormat="false" ht="15" hidden="false" customHeight="true" outlineLevel="0" collapsed="false">
      <c r="B99" s="21" t="s">
        <v>126</v>
      </c>
      <c r="C99" s="36" t="n">
        <v>150000</v>
      </c>
      <c r="D99" s="36" t="n">
        <v>130000</v>
      </c>
      <c r="E99" s="36" t="n">
        <v>175000</v>
      </c>
    </row>
    <row r="100" customFormat="false" ht="15" hidden="false" customHeight="true" outlineLevel="0" collapsed="false">
      <c r="B100" s="34" t="s">
        <v>127</v>
      </c>
      <c r="C100" s="35" t="n">
        <f aca="false">SUM(C95:C99)</f>
        <v>1030000</v>
      </c>
      <c r="D100" s="35" t="n">
        <f aca="false">SUM(D95:D99)</f>
        <v>870000</v>
      </c>
      <c r="E100" s="35" t="n">
        <f aca="false">SUM(E95:E99)</f>
        <v>1195000</v>
      </c>
    </row>
    <row r="101" customFormat="false" ht="15" hidden="false" customHeight="true" outlineLevel="0" collapsed="false">
      <c r="B101" s="37" t="s">
        <v>128</v>
      </c>
      <c r="C101" s="35" t="n">
        <f aca="false">C92-C100</f>
        <v>0</v>
      </c>
      <c r="D101" s="35" t="n">
        <f aca="false">D92-D100</f>
        <v>0</v>
      </c>
      <c r="E101" s="35" t="n">
        <f aca="false">E92-E100</f>
        <v>0</v>
      </c>
    </row>
    <row r="103" customFormat="false" ht="31.5" hidden="false" customHeight="true" outlineLevel="0" collapsed="false">
      <c r="B103" s="38" t="s">
        <v>129</v>
      </c>
    </row>
    <row r="106" customFormat="false" ht="15" hidden="false" customHeight="true" outlineLevel="0" collapsed="false">
      <c r="B106" s="39" t="s">
        <v>130</v>
      </c>
    </row>
  </sheetData>
  <mergeCells count="8">
    <mergeCell ref="B3:E3"/>
    <mergeCell ref="B11:E11"/>
    <mergeCell ref="B16:E16"/>
    <mergeCell ref="B44:E44"/>
    <mergeCell ref="B61:E61"/>
    <mergeCell ref="B64:E64"/>
    <mergeCell ref="B75:E75"/>
    <mergeCell ref="B83:E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7" min="3" style="1" width="16"/>
    <col collapsed="false" customWidth="true" hidden="false" outlineLevel="0" max="8" min="8" style="1" width="3"/>
  </cols>
  <sheetData>
    <row r="1" customFormat="false" ht="36" hidden="false" customHeight="true" outlineLevel="0" collapsed="false">
      <c r="A1" s="17"/>
      <c r="B1" s="17" t="s">
        <v>131</v>
      </c>
      <c r="C1" s="40" t="s">
        <v>132</v>
      </c>
      <c r="D1" s="40" t="s">
        <v>133</v>
      </c>
      <c r="E1" s="40" t="s">
        <v>134</v>
      </c>
      <c r="F1" s="40" t="s">
        <v>135</v>
      </c>
      <c r="G1" s="40" t="s">
        <v>136</v>
      </c>
      <c r="H1" s="17"/>
    </row>
    <row r="3" customFormat="false" ht="15" hidden="false" customHeight="true" outlineLevel="0" collapsed="false">
      <c r="B3" s="18" t="s">
        <v>137</v>
      </c>
      <c r="C3" s="18"/>
      <c r="D3" s="18"/>
      <c r="E3" s="18"/>
      <c r="F3" s="18"/>
      <c r="G3" s="18"/>
    </row>
    <row r="4" customFormat="false" ht="15" hidden="false" customHeight="true" outlineLevel="0" collapsed="false">
      <c r="B4" s="24" t="s">
        <v>138</v>
      </c>
      <c r="C4" s="41" t="n">
        <v>40500</v>
      </c>
      <c r="D4" s="41" t="n">
        <v>40500</v>
      </c>
      <c r="E4" s="41" t="n">
        <v>40500</v>
      </c>
      <c r="F4" s="41" t="n">
        <v>0</v>
      </c>
      <c r="G4" s="41" t="n">
        <v>0</v>
      </c>
    </row>
    <row r="5" customFormat="false" ht="15" hidden="false" customHeight="true" outlineLevel="0" collapsed="false">
      <c r="B5" s="24" t="s">
        <v>139</v>
      </c>
      <c r="C5" s="41" t="n">
        <v>36000</v>
      </c>
      <c r="D5" s="41" t="n">
        <v>90000</v>
      </c>
      <c r="E5" s="41" t="n">
        <v>144000</v>
      </c>
      <c r="F5" s="41" t="n">
        <v>198000</v>
      </c>
      <c r="G5" s="41" t="n">
        <v>252000</v>
      </c>
    </row>
    <row r="6" customFormat="false" ht="15" hidden="false" customHeight="true" outlineLevel="0" collapsed="false">
      <c r="B6" s="24" t="s">
        <v>140</v>
      </c>
      <c r="C6" s="41" t="n">
        <v>0</v>
      </c>
      <c r="D6" s="41" t="n">
        <v>36000</v>
      </c>
      <c r="E6" s="41" t="n">
        <v>108000</v>
      </c>
      <c r="F6" s="41" t="n">
        <v>180000</v>
      </c>
      <c r="G6" s="41" t="n">
        <v>288000</v>
      </c>
    </row>
    <row r="7" customFormat="false" ht="15" hidden="false" customHeight="true" outlineLevel="0" collapsed="false">
      <c r="B7" s="24" t="s">
        <v>141</v>
      </c>
      <c r="C7" s="41" t="n">
        <v>0</v>
      </c>
      <c r="D7" s="41" t="n">
        <v>0</v>
      </c>
      <c r="E7" s="41" t="n">
        <v>105000</v>
      </c>
      <c r="F7" s="41" t="n">
        <v>210000</v>
      </c>
      <c r="G7" s="41" t="n">
        <v>420000</v>
      </c>
    </row>
    <row r="8" customFormat="false" ht="15" hidden="false" customHeight="true" outlineLevel="0" collapsed="false">
      <c r="B8" s="24" t="s">
        <v>142</v>
      </c>
      <c r="C8" s="41" t="n">
        <v>0</v>
      </c>
      <c r="D8" s="41" t="n">
        <v>0</v>
      </c>
      <c r="E8" s="41" t="n">
        <v>0</v>
      </c>
      <c r="F8" s="41" t="n">
        <v>175000</v>
      </c>
      <c r="G8" s="41" t="n">
        <v>350000</v>
      </c>
    </row>
    <row r="9" customFormat="false" ht="15" hidden="false" customHeight="true" outlineLevel="0" collapsed="false">
      <c r="A9" s="42"/>
      <c r="B9" s="26" t="s">
        <v>143</v>
      </c>
      <c r="C9" s="43" t="n">
        <f aca="false">SUM(C4:C8)</f>
        <v>76500</v>
      </c>
      <c r="D9" s="43" t="n">
        <f aca="false">SUM(D4:D8)</f>
        <v>166500</v>
      </c>
      <c r="E9" s="43" t="n">
        <f aca="false">SUM(E4:E8)</f>
        <v>397500</v>
      </c>
      <c r="F9" s="43" t="n">
        <f aca="false">SUM(F4:F8)</f>
        <v>763000</v>
      </c>
      <c r="G9" s="43" t="n">
        <f aca="false">SUM(G4:G8)</f>
        <v>1310000</v>
      </c>
      <c r="H9" s="42"/>
    </row>
    <row r="11" customFormat="false" ht="15" hidden="false" customHeight="true" outlineLevel="0" collapsed="false">
      <c r="B11" s="18" t="s">
        <v>144</v>
      </c>
      <c r="C11" s="18"/>
      <c r="D11" s="18"/>
      <c r="E11" s="18"/>
      <c r="F11" s="18"/>
      <c r="G11" s="18"/>
    </row>
    <row r="12" customFormat="false" ht="15" hidden="false" customHeight="true" outlineLevel="0" collapsed="false">
      <c r="B12" s="24" t="s">
        <v>145</v>
      </c>
      <c r="C12" s="41" t="n">
        <v>0</v>
      </c>
      <c r="D12" s="41" t="n">
        <v>0</v>
      </c>
      <c r="E12" s="41" t="n">
        <v>250000</v>
      </c>
      <c r="F12" s="41" t="n">
        <v>500000</v>
      </c>
      <c r="G12" s="41" t="n">
        <v>750000</v>
      </c>
    </row>
    <row r="13" customFormat="false" ht="15" hidden="false" customHeight="true" outlineLevel="0" collapsed="false">
      <c r="A13" s="42"/>
      <c r="B13" s="26" t="s">
        <v>146</v>
      </c>
      <c r="C13" s="43" t="n">
        <f aca="false">C12</f>
        <v>0</v>
      </c>
      <c r="D13" s="43" t="n">
        <f aca="false">D12</f>
        <v>0</v>
      </c>
      <c r="E13" s="43" t="n">
        <f aca="false">E12</f>
        <v>250000</v>
      </c>
      <c r="F13" s="43" t="n">
        <f aca="false">F12</f>
        <v>500000</v>
      </c>
      <c r="G13" s="43" t="n">
        <f aca="false">G12</f>
        <v>750000</v>
      </c>
      <c r="H13" s="42"/>
    </row>
    <row r="15" customFormat="false" ht="15" hidden="false" customHeight="true" outlineLevel="0" collapsed="false">
      <c r="B15" s="18" t="s">
        <v>147</v>
      </c>
      <c r="C15" s="18"/>
      <c r="D15" s="18"/>
      <c r="E15" s="18"/>
      <c r="F15" s="18"/>
      <c r="G15" s="18"/>
    </row>
    <row r="16" customFormat="false" ht="15" hidden="false" customHeight="true" outlineLevel="0" collapsed="false">
      <c r="B16" s="24" t="s">
        <v>148</v>
      </c>
      <c r="C16" s="41" t="n">
        <v>0</v>
      </c>
      <c r="D16" s="41" t="n">
        <v>0</v>
      </c>
      <c r="E16" s="41" t="n">
        <v>150000</v>
      </c>
      <c r="F16" s="41" t="n">
        <v>150000</v>
      </c>
      <c r="G16" s="41" t="n">
        <v>300000</v>
      </c>
    </row>
    <row r="17" customFormat="false" ht="15" hidden="false" customHeight="true" outlineLevel="0" collapsed="false">
      <c r="B17" s="24" t="s">
        <v>149</v>
      </c>
      <c r="C17" s="41" t="n">
        <v>0</v>
      </c>
      <c r="D17" s="41" t="n">
        <v>0</v>
      </c>
      <c r="E17" s="41" t="n">
        <v>80000</v>
      </c>
      <c r="F17" s="41" t="n">
        <v>80000</v>
      </c>
      <c r="G17" s="41" t="n">
        <v>160000</v>
      </c>
    </row>
    <row r="18" customFormat="false" ht="15" hidden="false" customHeight="true" outlineLevel="0" collapsed="false">
      <c r="A18" s="42"/>
      <c r="B18" s="26" t="s">
        <v>150</v>
      </c>
      <c r="C18" s="43" t="n">
        <f aca="false">C16+C17</f>
        <v>0</v>
      </c>
      <c r="D18" s="43" t="n">
        <f aca="false">D16+D17</f>
        <v>0</v>
      </c>
      <c r="E18" s="43" t="n">
        <f aca="false">E16+E17</f>
        <v>230000</v>
      </c>
      <c r="F18" s="43" t="n">
        <f aca="false">F16+F17</f>
        <v>230000</v>
      </c>
      <c r="G18" s="43" t="n">
        <f aca="false">G16+G17</f>
        <v>460000</v>
      </c>
      <c r="H18" s="42"/>
    </row>
    <row r="20" customFormat="false" ht="15" hidden="false" customHeight="true" outlineLevel="0" collapsed="false">
      <c r="B20" s="18" t="s">
        <v>151</v>
      </c>
      <c r="C20" s="18"/>
      <c r="D20" s="18"/>
      <c r="E20" s="18"/>
      <c r="F20" s="18"/>
      <c r="G20" s="18"/>
    </row>
    <row r="21" customFormat="false" ht="18" hidden="false" customHeight="true" outlineLevel="0" collapsed="false">
      <c r="B21" s="44" t="s">
        <v>152</v>
      </c>
      <c r="C21" s="45" t="n">
        <f aca="false">C9+C13+C18</f>
        <v>76500</v>
      </c>
      <c r="D21" s="45" t="n">
        <f aca="false">D9+D13+D18</f>
        <v>166500</v>
      </c>
      <c r="E21" s="45" t="n">
        <f aca="false">E9+E13+E18</f>
        <v>877500</v>
      </c>
      <c r="F21" s="45" t="n">
        <f aca="false">F9+F13+F18</f>
        <v>1493000</v>
      </c>
      <c r="G21" s="45" t="n">
        <f aca="false">G9+G13+G18</f>
        <v>2520000</v>
      </c>
    </row>
    <row r="23" customFormat="false" ht="15" hidden="false" customHeight="true" outlineLevel="0" collapsed="false">
      <c r="B23" s="18" t="s">
        <v>153</v>
      </c>
      <c r="C23" s="18"/>
      <c r="D23" s="18"/>
      <c r="E23" s="18"/>
      <c r="F23" s="18"/>
      <c r="G23" s="18"/>
    </row>
    <row r="24" customFormat="false" ht="15" hidden="false" customHeight="true" outlineLevel="0" collapsed="false">
      <c r="B24" s="24" t="s">
        <v>154</v>
      </c>
      <c r="C24" s="29" t="n">
        <v>1180000</v>
      </c>
      <c r="D24" s="29" t="n">
        <v>1298000</v>
      </c>
      <c r="E24" s="29" t="n">
        <v>1495550</v>
      </c>
      <c r="F24" s="29" t="n">
        <v>1792380</v>
      </c>
      <c r="G24" s="29" t="n">
        <v>2154276</v>
      </c>
    </row>
    <row r="25" customFormat="false" ht="15" hidden="false" customHeight="true" outlineLevel="0" collapsed="false">
      <c r="A25" s="42"/>
      <c r="B25" s="26" t="s">
        <v>155</v>
      </c>
      <c r="C25" s="46" t="n">
        <f aca="false">C21-C24</f>
        <v>-1103500</v>
      </c>
      <c r="D25" s="46" t="n">
        <f aca="false">D21-D24</f>
        <v>-1131500</v>
      </c>
      <c r="E25" s="46" t="n">
        <f aca="false">E21-E24</f>
        <v>-618050</v>
      </c>
      <c r="F25" s="46" t="n">
        <f aca="false">F21-F24</f>
        <v>-299380</v>
      </c>
      <c r="G25" s="46" t="n">
        <f aca="false">G21-G24</f>
        <v>365724</v>
      </c>
      <c r="H25" s="42"/>
    </row>
    <row r="26" customFormat="false" ht="15" hidden="false" customHeight="true" outlineLevel="0" collapsed="false">
      <c r="B26" s="24" t="s">
        <v>156</v>
      </c>
      <c r="C26" s="47" t="n">
        <f aca="false">IF(C21=0,"n/m",C25/C21)</f>
        <v>-14.4248366013072</v>
      </c>
      <c r="D26" s="47" t="n">
        <f aca="false">IF(D21=0,"n/m",D25/D21)</f>
        <v>-6.7957957957958</v>
      </c>
      <c r="E26" s="47" t="n">
        <f aca="false">IF(E21=0,"n/m",E25/E21)</f>
        <v>-0.704330484330484</v>
      </c>
      <c r="F26" s="47" t="n">
        <f aca="false">IF(F21=0,"n/m",F25/F21)</f>
        <v>-0.200522438044206</v>
      </c>
      <c r="G26" s="47" t="n">
        <f aca="false">IF(G21=0,"n/m",G25/G21)</f>
        <v>0.145128571428571</v>
      </c>
    </row>
    <row r="28" customFormat="false" ht="15" hidden="false" customHeight="true" outlineLevel="0" collapsed="false">
      <c r="B28" s="18" t="s">
        <v>157</v>
      </c>
      <c r="C28" s="18"/>
      <c r="D28" s="18"/>
      <c r="E28" s="18"/>
      <c r="F28" s="18"/>
      <c r="G28" s="18"/>
    </row>
    <row r="29" customFormat="false" ht="15" hidden="false" customHeight="true" outlineLevel="0" collapsed="false">
      <c r="B29" s="5" t="s">
        <v>158</v>
      </c>
      <c r="C29" s="6" t="s">
        <v>9</v>
      </c>
      <c r="D29" s="6"/>
      <c r="E29" s="6"/>
      <c r="F29" s="6"/>
      <c r="G29" s="6"/>
    </row>
    <row r="30" customFormat="false" ht="15" hidden="false" customHeight="true" outlineLevel="0" collapsed="false">
      <c r="B30" s="5" t="s">
        <v>159</v>
      </c>
      <c r="C30" s="6" t="s">
        <v>11</v>
      </c>
      <c r="D30" s="6"/>
      <c r="E30" s="6"/>
      <c r="F30" s="6"/>
      <c r="G30" s="6"/>
    </row>
    <row r="31" customFormat="false" ht="15" hidden="false" customHeight="true" outlineLevel="0" collapsed="false">
      <c r="B31" s="5" t="s">
        <v>160</v>
      </c>
      <c r="C31" s="6" t="s">
        <v>161</v>
      </c>
      <c r="D31" s="6"/>
      <c r="E31" s="6"/>
      <c r="F31" s="6"/>
      <c r="G31" s="6"/>
    </row>
    <row r="32" customFormat="false" ht="15" hidden="false" customHeight="true" outlineLevel="0" collapsed="false">
      <c r="B32" s="5" t="s">
        <v>162</v>
      </c>
      <c r="C32" s="6" t="s">
        <v>163</v>
      </c>
      <c r="D32" s="6"/>
      <c r="E32" s="6"/>
      <c r="F32" s="6"/>
      <c r="G32" s="6"/>
    </row>
  </sheetData>
  <mergeCells count="10">
    <mergeCell ref="B3:G3"/>
    <mergeCell ref="B11:G11"/>
    <mergeCell ref="B15:G15"/>
    <mergeCell ref="B20:G20"/>
    <mergeCell ref="B23:G23"/>
    <mergeCell ref="B28:G28"/>
    <mergeCell ref="C29:G29"/>
    <mergeCell ref="C30:G30"/>
    <mergeCell ref="C31:G31"/>
    <mergeCell ref="C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7" min="3" style="1" width="16"/>
    <col collapsed="false" customWidth="true" hidden="false" outlineLevel="0" max="8" min="8" style="1" width="3"/>
  </cols>
  <sheetData>
    <row r="1" customFormat="false" ht="36" hidden="false" customHeight="true" outlineLevel="0" collapsed="false">
      <c r="A1" s="17"/>
      <c r="B1" s="17" t="s">
        <v>164</v>
      </c>
      <c r="C1" s="40" t="s">
        <v>132</v>
      </c>
      <c r="D1" s="40" t="s">
        <v>133</v>
      </c>
      <c r="E1" s="40" t="s">
        <v>134</v>
      </c>
      <c r="F1" s="40" t="s">
        <v>135</v>
      </c>
      <c r="G1" s="40" t="s">
        <v>136</v>
      </c>
      <c r="H1" s="17"/>
    </row>
    <row r="3" customFormat="false" ht="15" hidden="false" customHeight="true" outlineLevel="0" collapsed="false">
      <c r="B3" s="18" t="s">
        <v>137</v>
      </c>
      <c r="C3" s="18"/>
      <c r="D3" s="18"/>
      <c r="E3" s="18"/>
      <c r="F3" s="18"/>
      <c r="G3" s="18"/>
    </row>
    <row r="4" customFormat="false" ht="15" hidden="false" customHeight="true" outlineLevel="0" collapsed="false">
      <c r="B4" s="24" t="s">
        <v>138</v>
      </c>
      <c r="C4" s="41" t="n">
        <v>27000</v>
      </c>
      <c r="D4" s="41" t="n">
        <v>27000</v>
      </c>
      <c r="E4" s="41" t="n">
        <v>27000</v>
      </c>
      <c r="F4" s="41" t="n">
        <v>0</v>
      </c>
      <c r="G4" s="41" t="n">
        <v>0</v>
      </c>
    </row>
    <row r="5" customFormat="false" ht="15" hidden="false" customHeight="true" outlineLevel="0" collapsed="false">
      <c r="B5" s="24" t="s">
        <v>139</v>
      </c>
      <c r="C5" s="41" t="n">
        <v>18000</v>
      </c>
      <c r="D5" s="41" t="n">
        <v>54000</v>
      </c>
      <c r="E5" s="41" t="n">
        <v>90000</v>
      </c>
      <c r="F5" s="41" t="n">
        <v>126000</v>
      </c>
      <c r="G5" s="41" t="n">
        <v>162000</v>
      </c>
    </row>
    <row r="6" customFormat="false" ht="15" hidden="false" customHeight="true" outlineLevel="0" collapsed="false">
      <c r="B6" s="24" t="s">
        <v>140</v>
      </c>
      <c r="C6" s="41" t="n">
        <v>0</v>
      </c>
      <c r="D6" s="41" t="n">
        <v>0</v>
      </c>
      <c r="E6" s="41" t="n">
        <v>36000</v>
      </c>
      <c r="F6" s="41" t="n">
        <v>72000</v>
      </c>
      <c r="G6" s="41" t="n">
        <v>144000</v>
      </c>
    </row>
    <row r="7" customFormat="false" ht="15" hidden="false" customHeight="true" outlineLevel="0" collapsed="false">
      <c r="B7" s="24" t="s">
        <v>141</v>
      </c>
      <c r="C7" s="41" t="n">
        <v>0</v>
      </c>
      <c r="D7" s="41" t="n">
        <v>0</v>
      </c>
      <c r="E7" s="41" t="n">
        <v>0</v>
      </c>
      <c r="F7" s="41" t="n">
        <v>105000</v>
      </c>
      <c r="G7" s="41" t="n">
        <v>210000</v>
      </c>
    </row>
    <row r="8" customFormat="false" ht="15" hidden="false" customHeight="true" outlineLevel="0" collapsed="false">
      <c r="B8" s="24" t="s">
        <v>142</v>
      </c>
      <c r="C8" s="41" t="n">
        <v>0</v>
      </c>
      <c r="D8" s="41" t="n">
        <v>0</v>
      </c>
      <c r="E8" s="41" t="n">
        <v>0</v>
      </c>
      <c r="F8" s="41" t="n">
        <v>0</v>
      </c>
      <c r="G8" s="41" t="n">
        <v>175000</v>
      </c>
    </row>
    <row r="9" customFormat="false" ht="15" hidden="false" customHeight="true" outlineLevel="0" collapsed="false">
      <c r="A9" s="42"/>
      <c r="B9" s="26" t="s">
        <v>143</v>
      </c>
      <c r="C9" s="43" t="n">
        <f aca="false">SUM(C4:C8)</f>
        <v>45000</v>
      </c>
      <c r="D9" s="43" t="n">
        <f aca="false">SUM(D4:D8)</f>
        <v>81000</v>
      </c>
      <c r="E9" s="43" t="n">
        <f aca="false">SUM(E4:E8)</f>
        <v>153000</v>
      </c>
      <c r="F9" s="43" t="n">
        <f aca="false">SUM(F4:F8)</f>
        <v>303000</v>
      </c>
      <c r="G9" s="43" t="n">
        <f aca="false">SUM(G4:G8)</f>
        <v>691000</v>
      </c>
      <c r="H9" s="42"/>
    </row>
    <row r="11" customFormat="false" ht="15" hidden="false" customHeight="true" outlineLevel="0" collapsed="false">
      <c r="B11" s="18" t="s">
        <v>144</v>
      </c>
      <c r="C11" s="18"/>
      <c r="D11" s="18"/>
      <c r="E11" s="18"/>
      <c r="F11" s="18"/>
      <c r="G11" s="18"/>
    </row>
    <row r="12" customFormat="false" ht="15" hidden="false" customHeight="true" outlineLevel="0" collapsed="false">
      <c r="B12" s="24" t="s">
        <v>145</v>
      </c>
      <c r="C12" s="41" t="n">
        <v>0</v>
      </c>
      <c r="D12" s="41" t="n">
        <v>0</v>
      </c>
      <c r="E12" s="41" t="n">
        <v>0</v>
      </c>
      <c r="F12" s="41" t="n">
        <v>200000</v>
      </c>
      <c r="G12" s="41" t="n">
        <v>400000</v>
      </c>
    </row>
    <row r="13" customFormat="false" ht="15" hidden="false" customHeight="true" outlineLevel="0" collapsed="false">
      <c r="A13" s="42"/>
      <c r="B13" s="26" t="s">
        <v>146</v>
      </c>
      <c r="C13" s="43" t="n">
        <f aca="false">C12</f>
        <v>0</v>
      </c>
      <c r="D13" s="43" t="n">
        <f aca="false">D12</f>
        <v>0</v>
      </c>
      <c r="E13" s="43" t="n">
        <f aca="false">E12</f>
        <v>0</v>
      </c>
      <c r="F13" s="43" t="n">
        <f aca="false">F12</f>
        <v>200000</v>
      </c>
      <c r="G13" s="43" t="n">
        <f aca="false">G12</f>
        <v>400000</v>
      </c>
      <c r="H13" s="42"/>
    </row>
    <row r="15" customFormat="false" ht="15" hidden="false" customHeight="true" outlineLevel="0" collapsed="false">
      <c r="B15" s="18" t="s">
        <v>147</v>
      </c>
      <c r="C15" s="18"/>
      <c r="D15" s="18"/>
      <c r="E15" s="18"/>
      <c r="F15" s="18"/>
      <c r="G15" s="18"/>
    </row>
    <row r="16" customFormat="false" ht="15" hidden="false" customHeight="true" outlineLevel="0" collapsed="false">
      <c r="B16" s="24" t="s">
        <v>148</v>
      </c>
      <c r="C16" s="41" t="n">
        <v>0</v>
      </c>
      <c r="D16" s="41" t="n">
        <v>0</v>
      </c>
      <c r="E16" s="41" t="n">
        <v>0</v>
      </c>
      <c r="F16" s="41" t="n">
        <v>0</v>
      </c>
      <c r="G16" s="41" t="n">
        <v>120000</v>
      </c>
    </row>
    <row r="17" customFormat="false" ht="15" hidden="false" customHeight="true" outlineLevel="0" collapsed="false">
      <c r="B17" s="24" t="s">
        <v>149</v>
      </c>
      <c r="C17" s="41" t="n">
        <v>0</v>
      </c>
      <c r="D17" s="41" t="n">
        <v>0</v>
      </c>
      <c r="E17" s="41" t="n">
        <v>0</v>
      </c>
      <c r="F17" s="41" t="n">
        <v>0</v>
      </c>
      <c r="G17" s="41" t="n">
        <v>37500</v>
      </c>
    </row>
    <row r="18" customFormat="false" ht="15" hidden="false" customHeight="true" outlineLevel="0" collapsed="false">
      <c r="A18" s="42"/>
      <c r="B18" s="26" t="s">
        <v>150</v>
      </c>
      <c r="C18" s="43" t="n">
        <f aca="false">C16+C17</f>
        <v>0</v>
      </c>
      <c r="D18" s="43" t="n">
        <f aca="false">D16+D17</f>
        <v>0</v>
      </c>
      <c r="E18" s="43" t="n">
        <f aca="false">E16+E17</f>
        <v>0</v>
      </c>
      <c r="F18" s="43" t="n">
        <f aca="false">F16+F17</f>
        <v>0</v>
      </c>
      <c r="G18" s="43" t="n">
        <f aca="false">G16+G17</f>
        <v>157500</v>
      </c>
      <c r="H18" s="42"/>
    </row>
    <row r="20" customFormat="false" ht="15" hidden="false" customHeight="true" outlineLevel="0" collapsed="false">
      <c r="B20" s="18" t="s">
        <v>151</v>
      </c>
      <c r="C20" s="18"/>
      <c r="D20" s="18"/>
      <c r="E20" s="18"/>
      <c r="F20" s="18"/>
      <c r="G20" s="18"/>
    </row>
    <row r="21" customFormat="false" ht="18" hidden="false" customHeight="true" outlineLevel="0" collapsed="false">
      <c r="B21" s="44" t="s">
        <v>152</v>
      </c>
      <c r="C21" s="45" t="n">
        <f aca="false">C9+C13+C18</f>
        <v>45000</v>
      </c>
      <c r="D21" s="45" t="n">
        <f aca="false">D9+D13+D18</f>
        <v>81000</v>
      </c>
      <c r="E21" s="45" t="n">
        <f aca="false">E9+E13+E18</f>
        <v>153000</v>
      </c>
      <c r="F21" s="45" t="n">
        <f aca="false">F9+F13+F18</f>
        <v>503000</v>
      </c>
      <c r="G21" s="45" t="n">
        <f aca="false">G9+G13+G18</f>
        <v>1248500</v>
      </c>
    </row>
    <row r="23" customFormat="false" ht="15" hidden="false" customHeight="true" outlineLevel="0" collapsed="false">
      <c r="B23" s="18" t="s">
        <v>153</v>
      </c>
      <c r="C23" s="18"/>
      <c r="D23" s="18"/>
      <c r="E23" s="18"/>
      <c r="F23" s="18"/>
      <c r="G23" s="18"/>
    </row>
    <row r="24" customFormat="false" ht="15" hidden="false" customHeight="true" outlineLevel="0" collapsed="false">
      <c r="B24" s="24" t="s">
        <v>154</v>
      </c>
      <c r="C24" s="29" t="n">
        <v>981000</v>
      </c>
      <c r="D24" s="29" t="n">
        <v>1079100</v>
      </c>
      <c r="E24" s="29" t="n">
        <v>1243420</v>
      </c>
      <c r="F24" s="29" t="n">
        <v>1490140</v>
      </c>
      <c r="G24" s="29" t="n">
        <v>1791114</v>
      </c>
    </row>
    <row r="25" customFormat="false" ht="15" hidden="false" customHeight="true" outlineLevel="0" collapsed="false">
      <c r="A25" s="42"/>
      <c r="B25" s="26" t="s">
        <v>155</v>
      </c>
      <c r="C25" s="46" t="n">
        <f aca="false">C21-C24</f>
        <v>-936000</v>
      </c>
      <c r="D25" s="46" t="n">
        <f aca="false">D21-D24</f>
        <v>-998100</v>
      </c>
      <c r="E25" s="46" t="n">
        <f aca="false">E21-E24</f>
        <v>-1090420</v>
      </c>
      <c r="F25" s="46" t="n">
        <f aca="false">F21-F24</f>
        <v>-987140</v>
      </c>
      <c r="G25" s="46" t="n">
        <f aca="false">G21-G24</f>
        <v>-542614</v>
      </c>
      <c r="H25" s="42"/>
    </row>
    <row r="26" customFormat="false" ht="15" hidden="false" customHeight="true" outlineLevel="0" collapsed="false">
      <c r="B26" s="24" t="s">
        <v>156</v>
      </c>
      <c r="C26" s="47" t="n">
        <f aca="false">IF(C21=0,"n/m",C25/C21)</f>
        <v>-20.8</v>
      </c>
      <c r="D26" s="47" t="n">
        <f aca="false">IF(D21=0,"n/m",D25/D21)</f>
        <v>-12.3222222222222</v>
      </c>
      <c r="E26" s="47" t="n">
        <f aca="false">IF(E21=0,"n/m",E25/E21)</f>
        <v>-7.12692810457516</v>
      </c>
      <c r="F26" s="47" t="n">
        <f aca="false">IF(F21=0,"n/m",F25/F21)</f>
        <v>-1.96250497017893</v>
      </c>
      <c r="G26" s="47" t="n">
        <f aca="false">IF(G21=0,"n/m",G25/G21)</f>
        <v>-0.434612735282339</v>
      </c>
    </row>
    <row r="28" customFormat="false" ht="15" hidden="false" customHeight="true" outlineLevel="0" collapsed="false">
      <c r="B28" s="18" t="s">
        <v>157</v>
      </c>
      <c r="C28" s="18"/>
      <c r="D28" s="18"/>
      <c r="E28" s="18"/>
      <c r="F28" s="18"/>
      <c r="G28" s="18"/>
    </row>
    <row r="29" customFormat="false" ht="15" hidden="false" customHeight="true" outlineLevel="0" collapsed="false">
      <c r="B29" s="5" t="s">
        <v>158</v>
      </c>
      <c r="C29" s="6" t="s">
        <v>9</v>
      </c>
      <c r="D29" s="6"/>
      <c r="E29" s="6"/>
      <c r="F29" s="6"/>
      <c r="G29" s="6"/>
    </row>
    <row r="30" customFormat="false" ht="15" hidden="false" customHeight="true" outlineLevel="0" collapsed="false">
      <c r="B30" s="5" t="s">
        <v>159</v>
      </c>
      <c r="C30" s="6" t="s">
        <v>11</v>
      </c>
      <c r="D30" s="6"/>
      <c r="E30" s="6"/>
      <c r="F30" s="6"/>
      <c r="G30" s="6"/>
    </row>
    <row r="31" customFormat="false" ht="15" hidden="false" customHeight="true" outlineLevel="0" collapsed="false">
      <c r="B31" s="5" t="s">
        <v>160</v>
      </c>
      <c r="C31" s="6" t="s">
        <v>161</v>
      </c>
      <c r="D31" s="6"/>
      <c r="E31" s="6"/>
      <c r="F31" s="6"/>
      <c r="G31" s="6"/>
    </row>
    <row r="32" customFormat="false" ht="15" hidden="false" customHeight="true" outlineLevel="0" collapsed="false">
      <c r="B32" s="5" t="s">
        <v>162</v>
      </c>
      <c r="C32" s="6" t="s">
        <v>163</v>
      </c>
      <c r="D32" s="6"/>
      <c r="E32" s="6"/>
      <c r="F32" s="6"/>
      <c r="G32" s="6"/>
    </row>
  </sheetData>
  <mergeCells count="10">
    <mergeCell ref="B3:G3"/>
    <mergeCell ref="B11:G11"/>
    <mergeCell ref="B15:G15"/>
    <mergeCell ref="B20:G20"/>
    <mergeCell ref="B23:G23"/>
    <mergeCell ref="B28:G28"/>
    <mergeCell ref="C29:G29"/>
    <mergeCell ref="C30:G30"/>
    <mergeCell ref="C31:G31"/>
    <mergeCell ref="C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7" min="3" style="1" width="16"/>
    <col collapsed="false" customWidth="true" hidden="false" outlineLevel="0" max="8" min="8" style="1" width="3"/>
  </cols>
  <sheetData>
    <row r="1" customFormat="false" ht="36" hidden="false" customHeight="true" outlineLevel="0" collapsed="false">
      <c r="A1" s="17"/>
      <c r="B1" s="17" t="s">
        <v>165</v>
      </c>
      <c r="C1" s="40" t="s">
        <v>132</v>
      </c>
      <c r="D1" s="40" t="s">
        <v>133</v>
      </c>
      <c r="E1" s="40" t="s">
        <v>134</v>
      </c>
      <c r="F1" s="40" t="s">
        <v>135</v>
      </c>
      <c r="G1" s="40" t="s">
        <v>136</v>
      </c>
      <c r="H1" s="17"/>
    </row>
    <row r="3" customFormat="false" ht="15" hidden="false" customHeight="true" outlineLevel="0" collapsed="false">
      <c r="B3" s="18" t="s">
        <v>137</v>
      </c>
      <c r="C3" s="18"/>
      <c r="D3" s="18"/>
      <c r="E3" s="18"/>
      <c r="F3" s="18"/>
      <c r="G3" s="18"/>
    </row>
    <row r="4" customFormat="false" ht="15" hidden="false" customHeight="true" outlineLevel="0" collapsed="false">
      <c r="B4" s="24" t="s">
        <v>138</v>
      </c>
      <c r="C4" s="41" t="n">
        <v>67500</v>
      </c>
      <c r="D4" s="41" t="n">
        <v>67500</v>
      </c>
      <c r="E4" s="41" t="n">
        <v>67500</v>
      </c>
      <c r="F4" s="41" t="n">
        <v>0</v>
      </c>
      <c r="G4" s="41" t="n">
        <v>0</v>
      </c>
    </row>
    <row r="5" customFormat="false" ht="15" hidden="false" customHeight="true" outlineLevel="0" collapsed="false">
      <c r="B5" s="24" t="s">
        <v>139</v>
      </c>
      <c r="C5" s="41" t="n">
        <v>72000</v>
      </c>
      <c r="D5" s="41" t="n">
        <v>144000</v>
      </c>
      <c r="E5" s="41" t="n">
        <v>252000</v>
      </c>
      <c r="F5" s="41" t="n">
        <v>360000</v>
      </c>
      <c r="G5" s="41" t="n">
        <v>468000</v>
      </c>
    </row>
    <row r="6" customFormat="false" ht="15" hidden="false" customHeight="true" outlineLevel="0" collapsed="false">
      <c r="B6" s="24" t="s">
        <v>140</v>
      </c>
      <c r="C6" s="41" t="n">
        <v>36000</v>
      </c>
      <c r="D6" s="41" t="n">
        <v>72000</v>
      </c>
      <c r="E6" s="41" t="n">
        <v>180000</v>
      </c>
      <c r="F6" s="41" t="n">
        <v>288000</v>
      </c>
      <c r="G6" s="41" t="n">
        <v>432000</v>
      </c>
    </row>
    <row r="7" customFormat="false" ht="15" hidden="false" customHeight="true" outlineLevel="0" collapsed="false">
      <c r="B7" s="24" t="s">
        <v>141</v>
      </c>
      <c r="C7" s="41" t="n">
        <v>0</v>
      </c>
      <c r="D7" s="41" t="n">
        <v>105000</v>
      </c>
      <c r="E7" s="41" t="n">
        <v>210000</v>
      </c>
      <c r="F7" s="41" t="n">
        <v>420000</v>
      </c>
      <c r="G7" s="41" t="n">
        <v>630000</v>
      </c>
    </row>
    <row r="8" customFormat="false" ht="15" hidden="false" customHeight="true" outlineLevel="0" collapsed="false">
      <c r="B8" s="24" t="s">
        <v>142</v>
      </c>
      <c r="C8" s="41" t="n">
        <v>0</v>
      </c>
      <c r="D8" s="41" t="n">
        <v>0</v>
      </c>
      <c r="E8" s="41" t="n">
        <v>175000</v>
      </c>
      <c r="F8" s="41" t="n">
        <v>350000</v>
      </c>
      <c r="G8" s="41" t="n">
        <v>525000</v>
      </c>
    </row>
    <row r="9" customFormat="false" ht="15" hidden="false" customHeight="true" outlineLevel="0" collapsed="false">
      <c r="A9" s="42"/>
      <c r="B9" s="26" t="s">
        <v>143</v>
      </c>
      <c r="C9" s="43" t="n">
        <f aca="false">SUM(C4:C8)</f>
        <v>175500</v>
      </c>
      <c r="D9" s="43" t="n">
        <f aca="false">SUM(D4:D8)</f>
        <v>388500</v>
      </c>
      <c r="E9" s="43" t="n">
        <f aca="false">SUM(E4:E8)</f>
        <v>884500</v>
      </c>
      <c r="F9" s="43" t="n">
        <f aca="false">SUM(F4:F8)</f>
        <v>1418000</v>
      </c>
      <c r="G9" s="43" t="n">
        <f aca="false">SUM(G4:G8)</f>
        <v>2055000</v>
      </c>
      <c r="H9" s="42"/>
    </row>
    <row r="11" customFormat="false" ht="15" hidden="false" customHeight="true" outlineLevel="0" collapsed="false">
      <c r="B11" s="18" t="s">
        <v>144</v>
      </c>
      <c r="C11" s="18"/>
      <c r="D11" s="18"/>
      <c r="E11" s="18"/>
      <c r="F11" s="18"/>
      <c r="G11" s="18"/>
    </row>
    <row r="12" customFormat="false" ht="15" hidden="false" customHeight="true" outlineLevel="0" collapsed="false">
      <c r="B12" s="24" t="s">
        <v>145</v>
      </c>
      <c r="C12" s="41" t="n">
        <v>0</v>
      </c>
      <c r="D12" s="41" t="n">
        <v>0</v>
      </c>
      <c r="E12" s="41" t="n">
        <v>600000</v>
      </c>
      <c r="F12" s="41" t="n">
        <v>900000</v>
      </c>
      <c r="G12" s="41" t="n">
        <v>1200000</v>
      </c>
    </row>
    <row r="13" customFormat="false" ht="15" hidden="false" customHeight="true" outlineLevel="0" collapsed="false">
      <c r="A13" s="42"/>
      <c r="B13" s="26" t="s">
        <v>146</v>
      </c>
      <c r="C13" s="43" t="n">
        <f aca="false">C12</f>
        <v>0</v>
      </c>
      <c r="D13" s="43" t="n">
        <f aca="false">D12</f>
        <v>0</v>
      </c>
      <c r="E13" s="43" t="n">
        <f aca="false">E12</f>
        <v>600000</v>
      </c>
      <c r="F13" s="43" t="n">
        <f aca="false">F12</f>
        <v>900000</v>
      </c>
      <c r="G13" s="43" t="n">
        <f aca="false">G12</f>
        <v>1200000</v>
      </c>
      <c r="H13" s="42"/>
    </row>
    <row r="15" customFormat="false" ht="15" hidden="false" customHeight="true" outlineLevel="0" collapsed="false">
      <c r="B15" s="18" t="s">
        <v>147</v>
      </c>
      <c r="C15" s="18"/>
      <c r="D15" s="18"/>
      <c r="E15" s="18"/>
      <c r="F15" s="18"/>
      <c r="G15" s="18"/>
    </row>
    <row r="16" customFormat="false" ht="15" hidden="false" customHeight="true" outlineLevel="0" collapsed="false">
      <c r="B16" s="24" t="s">
        <v>148</v>
      </c>
      <c r="C16" s="41" t="n">
        <v>0</v>
      </c>
      <c r="D16" s="41" t="n">
        <v>0</v>
      </c>
      <c r="E16" s="41" t="n">
        <v>180000</v>
      </c>
      <c r="F16" s="41" t="n">
        <v>360000</v>
      </c>
      <c r="G16" s="41" t="n">
        <v>540000</v>
      </c>
    </row>
    <row r="17" customFormat="false" ht="15" hidden="false" customHeight="true" outlineLevel="0" collapsed="false">
      <c r="B17" s="24" t="s">
        <v>149</v>
      </c>
      <c r="C17" s="41" t="n">
        <v>0</v>
      </c>
      <c r="D17" s="41" t="n">
        <v>0</v>
      </c>
      <c r="E17" s="41" t="n">
        <v>150000</v>
      </c>
      <c r="F17" s="41" t="n">
        <v>300000</v>
      </c>
      <c r="G17" s="41" t="n">
        <v>450000</v>
      </c>
    </row>
    <row r="18" customFormat="false" ht="15" hidden="false" customHeight="true" outlineLevel="0" collapsed="false">
      <c r="A18" s="42"/>
      <c r="B18" s="26" t="s">
        <v>150</v>
      </c>
      <c r="C18" s="43" t="n">
        <f aca="false">C16+C17</f>
        <v>0</v>
      </c>
      <c r="D18" s="43" t="n">
        <f aca="false">D16+D17</f>
        <v>0</v>
      </c>
      <c r="E18" s="43" t="n">
        <f aca="false">E16+E17</f>
        <v>330000</v>
      </c>
      <c r="F18" s="43" t="n">
        <f aca="false">F16+F17</f>
        <v>660000</v>
      </c>
      <c r="G18" s="43" t="n">
        <f aca="false">G16+G17</f>
        <v>990000</v>
      </c>
      <c r="H18" s="42"/>
    </row>
    <row r="20" customFormat="false" ht="15" hidden="false" customHeight="true" outlineLevel="0" collapsed="false">
      <c r="B20" s="18" t="s">
        <v>151</v>
      </c>
      <c r="C20" s="18"/>
      <c r="D20" s="18"/>
      <c r="E20" s="18"/>
      <c r="F20" s="18"/>
      <c r="G20" s="18"/>
    </row>
    <row r="21" customFormat="false" ht="18" hidden="false" customHeight="true" outlineLevel="0" collapsed="false">
      <c r="B21" s="44" t="s">
        <v>152</v>
      </c>
      <c r="C21" s="45" t="n">
        <f aca="false">C9+C13+C18</f>
        <v>175500</v>
      </c>
      <c r="D21" s="45" t="n">
        <f aca="false">D9+D13+D18</f>
        <v>388500</v>
      </c>
      <c r="E21" s="45" t="n">
        <f aca="false">E9+E13+E18</f>
        <v>1814500</v>
      </c>
      <c r="F21" s="45" t="n">
        <f aca="false">F9+F13+F18</f>
        <v>2978000</v>
      </c>
      <c r="G21" s="45" t="n">
        <f aca="false">G9+G13+G18</f>
        <v>4245000</v>
      </c>
    </row>
    <row r="23" customFormat="false" ht="15" hidden="false" customHeight="true" outlineLevel="0" collapsed="false">
      <c r="B23" s="18" t="s">
        <v>153</v>
      </c>
      <c r="C23" s="18"/>
      <c r="D23" s="18"/>
      <c r="E23" s="18"/>
      <c r="F23" s="18"/>
      <c r="G23" s="18"/>
    </row>
    <row r="24" customFormat="false" ht="15" hidden="false" customHeight="true" outlineLevel="0" collapsed="false">
      <c r="B24" s="24" t="s">
        <v>154</v>
      </c>
      <c r="C24" s="29" t="n">
        <v>1405000</v>
      </c>
      <c r="D24" s="29" t="n">
        <v>1545500</v>
      </c>
      <c r="E24" s="29" t="n">
        <v>1780675</v>
      </c>
      <c r="F24" s="29" t="n">
        <v>2134130</v>
      </c>
      <c r="G24" s="29" t="n">
        <v>2564976</v>
      </c>
    </row>
    <row r="25" customFormat="false" ht="15" hidden="false" customHeight="true" outlineLevel="0" collapsed="false">
      <c r="A25" s="42"/>
      <c r="B25" s="26" t="s">
        <v>155</v>
      </c>
      <c r="C25" s="46" t="n">
        <f aca="false">C21-C24</f>
        <v>-1229500</v>
      </c>
      <c r="D25" s="46" t="n">
        <f aca="false">D21-D24</f>
        <v>-1157000</v>
      </c>
      <c r="E25" s="46" t="n">
        <f aca="false">E21-E24</f>
        <v>33825</v>
      </c>
      <c r="F25" s="46" t="n">
        <f aca="false">F21-F24</f>
        <v>843870</v>
      </c>
      <c r="G25" s="46" t="n">
        <f aca="false">G21-G24</f>
        <v>1680024</v>
      </c>
      <c r="H25" s="42"/>
    </row>
    <row r="26" customFormat="false" ht="15" hidden="false" customHeight="true" outlineLevel="0" collapsed="false">
      <c r="B26" s="24" t="s">
        <v>156</v>
      </c>
      <c r="C26" s="47" t="n">
        <f aca="false">IF(C21=0,"n/m",C25/C21)</f>
        <v>-7.00569800569801</v>
      </c>
      <c r="D26" s="47" t="n">
        <f aca="false">IF(D21=0,"n/m",D25/D21)</f>
        <v>-2.97812097812098</v>
      </c>
      <c r="E26" s="47" t="n">
        <f aca="false">IF(E21=0,"n/m",E25/E21)</f>
        <v>0.018641499035547</v>
      </c>
      <c r="F26" s="47" t="n">
        <f aca="false">IF(F21=0,"n/m",F25/F21)</f>
        <v>0.2833680322364</v>
      </c>
      <c r="G26" s="47" t="n">
        <f aca="false">IF(G21=0,"n/m",G25/G21)</f>
        <v>0.395765371024735</v>
      </c>
    </row>
    <row r="28" customFormat="false" ht="15" hidden="false" customHeight="true" outlineLevel="0" collapsed="false">
      <c r="B28" s="18" t="s">
        <v>157</v>
      </c>
      <c r="C28" s="18"/>
      <c r="D28" s="18"/>
      <c r="E28" s="18"/>
      <c r="F28" s="18"/>
      <c r="G28" s="18"/>
    </row>
    <row r="29" customFormat="false" ht="15" hidden="false" customHeight="true" outlineLevel="0" collapsed="false">
      <c r="B29" s="5" t="s">
        <v>158</v>
      </c>
      <c r="C29" s="6" t="s">
        <v>9</v>
      </c>
      <c r="D29" s="6"/>
      <c r="E29" s="6"/>
      <c r="F29" s="6"/>
      <c r="G29" s="6"/>
    </row>
    <row r="30" customFormat="false" ht="15" hidden="false" customHeight="true" outlineLevel="0" collapsed="false">
      <c r="B30" s="5" t="s">
        <v>159</v>
      </c>
      <c r="C30" s="6" t="s">
        <v>11</v>
      </c>
      <c r="D30" s="6"/>
      <c r="E30" s="6"/>
      <c r="F30" s="6"/>
      <c r="G30" s="6"/>
    </row>
    <row r="31" customFormat="false" ht="15" hidden="false" customHeight="true" outlineLevel="0" collapsed="false">
      <c r="B31" s="5" t="s">
        <v>160</v>
      </c>
      <c r="C31" s="6" t="s">
        <v>161</v>
      </c>
      <c r="D31" s="6"/>
      <c r="E31" s="6"/>
      <c r="F31" s="6"/>
      <c r="G31" s="6"/>
    </row>
    <row r="32" customFormat="false" ht="15" hidden="false" customHeight="true" outlineLevel="0" collapsed="false">
      <c r="B32" s="5" t="s">
        <v>162</v>
      </c>
      <c r="C32" s="6" t="s">
        <v>163</v>
      </c>
      <c r="D32" s="6"/>
      <c r="E32" s="6"/>
      <c r="F32" s="6"/>
      <c r="G32" s="6"/>
    </row>
  </sheetData>
  <mergeCells count="10">
    <mergeCell ref="B3:G3"/>
    <mergeCell ref="B11:G11"/>
    <mergeCell ref="B15:G15"/>
    <mergeCell ref="B20:G20"/>
    <mergeCell ref="B23:G23"/>
    <mergeCell ref="B28:G28"/>
    <mergeCell ref="C29:G29"/>
    <mergeCell ref="C30:G30"/>
    <mergeCell ref="C31:G31"/>
    <mergeCell ref="C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7" min="3" style="1" width="14"/>
    <col collapsed="false" customWidth="true" hidden="false" outlineLevel="0" max="8" min="8" style="1" width="3"/>
  </cols>
  <sheetData>
    <row r="1" customFormat="false" ht="24" hidden="false" customHeight="true" outlineLevel="0" collapsed="false">
      <c r="A1" s="17"/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7"/>
    </row>
    <row r="3" customFormat="false" ht="15" hidden="false" customHeight="true" outlineLevel="0" collapsed="false">
      <c r="B3" s="18" t="s">
        <v>172</v>
      </c>
      <c r="C3" s="18"/>
      <c r="D3" s="18"/>
      <c r="E3" s="18"/>
      <c r="F3" s="18"/>
      <c r="G3" s="18"/>
    </row>
    <row r="4" customFormat="false" ht="15" hidden="false" customHeight="true" outlineLevel="0" collapsed="false">
      <c r="B4" s="24" t="s">
        <v>173</v>
      </c>
      <c r="C4" s="48" t="n">
        <v>76500</v>
      </c>
      <c r="D4" s="48" t="n">
        <v>166500</v>
      </c>
      <c r="E4" s="48" t="n">
        <v>877500</v>
      </c>
      <c r="F4" s="48" t="n">
        <v>1493000</v>
      </c>
      <c r="G4" s="48" t="n">
        <v>2520000</v>
      </c>
    </row>
    <row r="5" customFormat="false" ht="15" hidden="false" customHeight="true" outlineLevel="0" collapsed="false">
      <c r="B5" s="24" t="s">
        <v>174</v>
      </c>
      <c r="C5" s="48" t="n">
        <v>-1103500</v>
      </c>
      <c r="D5" s="48" t="n">
        <v>-1131500</v>
      </c>
      <c r="E5" s="48" t="n">
        <v>-618050</v>
      </c>
      <c r="F5" s="48" t="n">
        <v>-299380</v>
      </c>
      <c r="G5" s="48" t="n">
        <v>365724</v>
      </c>
    </row>
    <row r="6" customFormat="false" ht="15" hidden="false" customHeight="true" outlineLevel="0" collapsed="false">
      <c r="B6" s="24" t="s">
        <v>175</v>
      </c>
      <c r="C6" s="49" t="n">
        <v>-14.4248366013072</v>
      </c>
      <c r="D6" s="49" t="n">
        <v>-6.7957957957958</v>
      </c>
      <c r="E6" s="49" t="n">
        <v>-0.704330484330484</v>
      </c>
      <c r="F6" s="49" t="n">
        <v>-0.200522438044206</v>
      </c>
      <c r="G6" s="49" t="n">
        <v>0.145128571428571</v>
      </c>
    </row>
    <row r="8" customFormat="false" ht="15" hidden="false" customHeight="true" outlineLevel="0" collapsed="false">
      <c r="B8" s="18" t="s">
        <v>176</v>
      </c>
      <c r="C8" s="18"/>
      <c r="D8" s="18"/>
      <c r="E8" s="18"/>
      <c r="F8" s="18"/>
      <c r="G8" s="18"/>
    </row>
    <row r="9" customFormat="false" ht="15" hidden="false" customHeight="true" outlineLevel="0" collapsed="false">
      <c r="B9" s="24" t="s">
        <v>173</v>
      </c>
      <c r="C9" s="48" t="n">
        <v>45000</v>
      </c>
      <c r="D9" s="48" t="n">
        <v>81000</v>
      </c>
      <c r="E9" s="48" t="n">
        <v>153000</v>
      </c>
      <c r="F9" s="48" t="n">
        <v>503000</v>
      </c>
      <c r="G9" s="48" t="n">
        <v>1248500</v>
      </c>
    </row>
    <row r="10" customFormat="false" ht="15" hidden="false" customHeight="true" outlineLevel="0" collapsed="false">
      <c r="B10" s="24" t="s">
        <v>174</v>
      </c>
      <c r="C10" s="48" t="n">
        <v>-936000</v>
      </c>
      <c r="D10" s="48" t="n">
        <v>-998100</v>
      </c>
      <c r="E10" s="48" t="n">
        <v>-1090420</v>
      </c>
      <c r="F10" s="48" t="n">
        <v>-987140</v>
      </c>
      <c r="G10" s="48" t="n">
        <v>-542614</v>
      </c>
    </row>
    <row r="11" customFormat="false" ht="15" hidden="false" customHeight="true" outlineLevel="0" collapsed="false">
      <c r="B11" s="24" t="s">
        <v>175</v>
      </c>
      <c r="C11" s="49" t="n">
        <v>-20.8</v>
      </c>
      <c r="D11" s="49" t="n">
        <v>-12.3222222222222</v>
      </c>
      <c r="E11" s="49" t="n">
        <v>-7.12692810457516</v>
      </c>
      <c r="F11" s="49" t="n">
        <v>-1.96250497017893</v>
      </c>
      <c r="G11" s="49" t="n">
        <v>-0.434612735282339</v>
      </c>
    </row>
    <row r="13" customFormat="false" ht="15" hidden="false" customHeight="true" outlineLevel="0" collapsed="false">
      <c r="B13" s="18" t="s">
        <v>177</v>
      </c>
      <c r="C13" s="18"/>
      <c r="D13" s="18"/>
      <c r="E13" s="18"/>
      <c r="F13" s="18"/>
      <c r="G13" s="18"/>
    </row>
    <row r="14" customFormat="false" ht="15" hidden="false" customHeight="true" outlineLevel="0" collapsed="false">
      <c r="B14" s="24" t="s">
        <v>173</v>
      </c>
      <c r="C14" s="48" t="n">
        <v>175500</v>
      </c>
      <c r="D14" s="48" t="n">
        <v>388500</v>
      </c>
      <c r="E14" s="48" t="n">
        <v>1814500</v>
      </c>
      <c r="F14" s="48" t="n">
        <v>2978000</v>
      </c>
      <c r="G14" s="48" t="n">
        <v>4245000</v>
      </c>
    </row>
    <row r="15" customFormat="false" ht="15" hidden="false" customHeight="true" outlineLevel="0" collapsed="false">
      <c r="B15" s="24" t="s">
        <v>174</v>
      </c>
      <c r="C15" s="48" t="n">
        <v>-1229500</v>
      </c>
      <c r="D15" s="48" t="n">
        <v>-1157000</v>
      </c>
      <c r="E15" s="48" t="n">
        <v>33825</v>
      </c>
      <c r="F15" s="48" t="n">
        <v>843870</v>
      </c>
      <c r="G15" s="48" t="n">
        <v>1680024</v>
      </c>
    </row>
    <row r="16" customFormat="false" ht="15" hidden="false" customHeight="true" outlineLevel="0" collapsed="false">
      <c r="B16" s="24" t="s">
        <v>175</v>
      </c>
      <c r="C16" s="49" t="n">
        <v>-7.00569800569801</v>
      </c>
      <c r="D16" s="49" t="n">
        <v>-2.97812097812098</v>
      </c>
      <c r="E16" s="49" t="n">
        <v>0.018641499035547</v>
      </c>
      <c r="F16" s="49" t="n">
        <v>0.2833680322364</v>
      </c>
      <c r="G16" s="49" t="n">
        <v>0.395765371024735</v>
      </c>
    </row>
    <row r="19" customFormat="false" ht="15" hidden="false" customHeight="true" outlineLevel="0" collapsed="false">
      <c r="B19" s="14" t="s">
        <v>178</v>
      </c>
      <c r="C19" s="14"/>
      <c r="D19" s="14"/>
      <c r="E19" s="14"/>
      <c r="F19" s="14"/>
      <c r="G19" s="14"/>
    </row>
    <row r="20" customFormat="false" ht="15" hidden="false" customHeight="true" outlineLevel="0" collapsed="false">
      <c r="B20" s="14" t="s">
        <v>179</v>
      </c>
      <c r="C20" s="14"/>
      <c r="D20" s="14"/>
      <c r="E20" s="14"/>
      <c r="F20" s="14"/>
      <c r="G20" s="14"/>
    </row>
    <row r="22" customFormat="false" ht="15" hidden="false" customHeight="true" outlineLevel="0" collapsed="false">
      <c r="A22" s="34" t="s">
        <v>180</v>
      </c>
    </row>
    <row r="23" customFormat="false" ht="15" hidden="false" customHeight="true" outlineLevel="0" collapsed="false">
      <c r="A23" s="21" t="s">
        <v>181</v>
      </c>
      <c r="B23" s="50" t="n">
        <f aca="false">'Tenzor Scenario'!C44</f>
        <v>1576500</v>
      </c>
      <c r="C23" s="50" t="n">
        <f aca="false">'Tenzor Scenario'!D44</f>
        <v>1666500</v>
      </c>
      <c r="D23" s="50" t="n">
        <f aca="false">'Tenzor Scenario'!E44</f>
        <v>2377500</v>
      </c>
      <c r="E23" s="50" t="n">
        <f aca="false">'Tenzor Scenario'!F44</f>
        <v>2993000</v>
      </c>
      <c r="F23" s="50" t="n">
        <f aca="false">'Tenzor Scenario'!G44</f>
        <v>4020000</v>
      </c>
    </row>
    <row r="24" customFormat="false" ht="15" hidden="false" customHeight="true" outlineLevel="0" collapsed="false">
      <c r="A24" s="21" t="s">
        <v>182</v>
      </c>
      <c r="B24" s="50" t="n">
        <f aca="false">'Tenzor Scenario'!C50</f>
        <v>396500</v>
      </c>
      <c r="C24" s="50" t="n">
        <f aca="false">'Tenzor Scenario'!D50</f>
        <v>368500</v>
      </c>
      <c r="D24" s="50" t="n">
        <f aca="false">'Tenzor Scenario'!E50</f>
        <v>-190050</v>
      </c>
      <c r="E24" s="50" t="n">
        <f aca="false">'Tenzor Scenario'!F50</f>
        <v>104620</v>
      </c>
      <c r="F24" s="50" t="n">
        <f aca="false">'Tenzor Scenario'!G50</f>
        <v>585724</v>
      </c>
    </row>
  </sheetData>
  <mergeCells count="5">
    <mergeCell ref="B3:G3"/>
    <mergeCell ref="B8:G8"/>
    <mergeCell ref="B13:G13"/>
    <mergeCell ref="B19:G19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2"/>
    <col collapsed="false" customWidth="true" hidden="false" outlineLevel="0" max="7" min="3" style="1" width="16"/>
    <col collapsed="false" customWidth="true" hidden="false" outlineLevel="0" max="8" min="8" style="1" width="32"/>
  </cols>
  <sheetData>
    <row r="1" customFormat="false" ht="24" hidden="false" customHeight="true" outlineLevel="0" collapsed="false">
      <c r="B1" s="51" t="s">
        <v>183</v>
      </c>
      <c r="C1" s="52" t="s">
        <v>184</v>
      </c>
    </row>
    <row r="3" customFormat="false" ht="15" hidden="false" customHeight="true" outlineLevel="0" collapsed="false">
      <c r="B3" s="53" t="s">
        <v>185</v>
      </c>
    </row>
    <row r="4" customFormat="false" ht="15" hidden="false" customHeight="true" outlineLevel="0" collapsed="false">
      <c r="B4" s="34" t="s">
        <v>186</v>
      </c>
      <c r="C4" s="54" t="s">
        <v>187</v>
      </c>
    </row>
    <row r="5" customFormat="false" ht="15" hidden="false" customHeight="true" outlineLevel="0" collapsed="false">
      <c r="B5" s="34" t="s">
        <v>188</v>
      </c>
      <c r="C5" s="54" t="s">
        <v>189</v>
      </c>
    </row>
    <row r="6" customFormat="false" ht="15" hidden="false" customHeight="true" outlineLevel="0" collapsed="false">
      <c r="B6" s="34" t="s">
        <v>190</v>
      </c>
      <c r="C6" s="54" t="s">
        <v>191</v>
      </c>
    </row>
    <row r="7" customFormat="false" ht="15" hidden="false" customHeight="true" outlineLevel="0" collapsed="false">
      <c r="B7" s="34" t="s">
        <v>192</v>
      </c>
      <c r="C7" s="54" t="s">
        <v>193</v>
      </c>
    </row>
    <row r="8" customFormat="false" ht="15" hidden="false" customHeight="true" outlineLevel="0" collapsed="false">
      <c r="B8" s="34" t="s">
        <v>194</v>
      </c>
      <c r="C8" s="54" t="s">
        <v>195</v>
      </c>
    </row>
    <row r="9" customFormat="false" ht="15" hidden="false" customHeight="true" outlineLevel="0" collapsed="false">
      <c r="B9" s="34" t="s">
        <v>196</v>
      </c>
      <c r="C9" s="54" t="s">
        <v>197</v>
      </c>
    </row>
    <row r="11" customFormat="false" ht="15" hidden="false" customHeight="true" outlineLevel="0" collapsed="false">
      <c r="B11" s="53" t="s">
        <v>198</v>
      </c>
    </row>
    <row r="12" customFormat="false" ht="27.75" hidden="false" customHeight="true" outlineLevel="0" collapsed="false">
      <c r="C12" s="55" t="s">
        <v>132</v>
      </c>
      <c r="D12" s="55" t="s">
        <v>133</v>
      </c>
      <c r="E12" s="55" t="s">
        <v>134</v>
      </c>
      <c r="F12" s="55" t="s">
        <v>135</v>
      </c>
      <c r="G12" s="55" t="s">
        <v>136</v>
      </c>
    </row>
    <row r="13" customFormat="false" ht="15" hidden="false" customHeight="true" outlineLevel="0" collapsed="false">
      <c r="B13" s="56" t="s">
        <v>199</v>
      </c>
    </row>
    <row r="14" customFormat="false" ht="15" hidden="false" customHeight="true" outlineLevel="0" collapsed="false">
      <c r="B14" s="21" t="s">
        <v>200</v>
      </c>
      <c r="C14" s="22" t="n">
        <v>300000</v>
      </c>
      <c r="D14" s="22" t="n">
        <v>300000</v>
      </c>
      <c r="E14" s="22" t="n">
        <v>300000</v>
      </c>
      <c r="F14" s="22" t="n">
        <v>300000</v>
      </c>
      <c r="G14" s="22" t="n">
        <v>300000</v>
      </c>
      <c r="H14" s="23" t="s">
        <v>201</v>
      </c>
    </row>
    <row r="15" customFormat="false" ht="15" hidden="false" customHeight="true" outlineLevel="0" collapsed="false">
      <c r="B15" s="21" t="s">
        <v>202</v>
      </c>
      <c r="C15" s="22" t="n">
        <v>480000</v>
      </c>
      <c r="D15" s="22" t="n">
        <v>480000</v>
      </c>
      <c r="E15" s="22" t="n">
        <v>480000</v>
      </c>
      <c r="F15" s="22" t="n">
        <v>480000</v>
      </c>
      <c r="G15" s="22" t="n">
        <v>480000</v>
      </c>
      <c r="H15" s="23" t="s">
        <v>201</v>
      </c>
    </row>
    <row r="16" customFormat="false" ht="15" hidden="false" customHeight="true" outlineLevel="0" collapsed="false">
      <c r="B16" s="21" t="s">
        <v>203</v>
      </c>
      <c r="C16" s="22" t="n">
        <v>720000</v>
      </c>
      <c r="D16" s="22" t="n">
        <v>720000</v>
      </c>
      <c r="E16" s="22" t="n">
        <v>720000</v>
      </c>
      <c r="F16" s="22" t="n">
        <v>720000</v>
      </c>
      <c r="G16" s="22" t="n">
        <v>720000</v>
      </c>
      <c r="H16" s="23" t="s">
        <v>201</v>
      </c>
    </row>
    <row r="18" customFormat="false" ht="15" hidden="false" customHeight="true" outlineLevel="0" collapsed="false">
      <c r="B18" s="56" t="s">
        <v>204</v>
      </c>
    </row>
    <row r="19" customFormat="false" ht="13.5" hidden="false" customHeight="true" outlineLevel="0" collapsed="false">
      <c r="B19" s="23" t="s">
        <v>205</v>
      </c>
    </row>
    <row r="20" customFormat="false" ht="15" hidden="false" customHeight="true" outlineLevel="0" collapsed="false">
      <c r="B20" s="21" t="s">
        <v>206</v>
      </c>
      <c r="C20" s="22" t="n">
        <v>300000</v>
      </c>
      <c r="D20" s="22" t="n">
        <v>300000</v>
      </c>
      <c r="E20" s="22" t="n">
        <v>300000</v>
      </c>
      <c r="F20" s="22" t="n">
        <v>300000</v>
      </c>
      <c r="G20" s="22" t="n">
        <v>300000</v>
      </c>
    </row>
    <row r="21" customFormat="false" ht="15" hidden="false" customHeight="true" outlineLevel="0" collapsed="false">
      <c r="B21" s="21" t="s">
        <v>207</v>
      </c>
      <c r="C21" s="22" t="n">
        <v>480000</v>
      </c>
      <c r="D21" s="22" t="n">
        <v>480000</v>
      </c>
      <c r="E21" s="22" t="n">
        <v>480000</v>
      </c>
      <c r="F21" s="22" t="n">
        <v>480000</v>
      </c>
      <c r="G21" s="22" t="n">
        <v>480000</v>
      </c>
    </row>
    <row r="22" customFormat="false" ht="15" hidden="false" customHeight="true" outlineLevel="0" collapsed="false">
      <c r="B22" s="21" t="s">
        <v>208</v>
      </c>
      <c r="C22" s="22" t="n">
        <v>720000</v>
      </c>
      <c r="D22" s="22" t="n">
        <v>720000</v>
      </c>
      <c r="E22" s="22" t="n">
        <v>720000</v>
      </c>
      <c r="F22" s="22" t="n">
        <v>720000</v>
      </c>
      <c r="G22" s="22" t="n">
        <v>720000</v>
      </c>
    </row>
    <row r="24" customFormat="false" ht="15" hidden="false" customHeight="true" outlineLevel="0" collapsed="false">
      <c r="B24" s="56" t="s">
        <v>209</v>
      </c>
    </row>
    <row r="25" customFormat="false" ht="15" hidden="false" customHeight="true" outlineLevel="0" collapsed="false">
      <c r="B25" s="21" t="s">
        <v>210</v>
      </c>
      <c r="C25" s="22" t="n">
        <v>0</v>
      </c>
      <c r="D25" s="22" t="n">
        <v>0</v>
      </c>
      <c r="E25" s="22" t="n">
        <v>840000</v>
      </c>
      <c r="F25" s="22" t="n">
        <v>840000</v>
      </c>
      <c r="G25" s="22" t="n">
        <v>960000</v>
      </c>
    </row>
    <row r="26" customFormat="false" ht="15" hidden="false" customHeight="true" outlineLevel="0" collapsed="false">
      <c r="B26" s="21" t="s">
        <v>211</v>
      </c>
      <c r="C26" s="22" t="n">
        <v>0</v>
      </c>
      <c r="D26" s="22" t="n">
        <v>0</v>
      </c>
      <c r="E26" s="22" t="n">
        <v>72000</v>
      </c>
      <c r="F26" s="22" t="n">
        <v>96000</v>
      </c>
      <c r="G26" s="22" t="n">
        <v>120000</v>
      </c>
    </row>
    <row r="27" customFormat="false" ht="15" hidden="false" customHeight="true" outlineLevel="0" collapsed="false">
      <c r="B27" s="21" t="s">
        <v>212</v>
      </c>
      <c r="C27" s="22" t="n">
        <v>0</v>
      </c>
      <c r="D27" s="22" t="n">
        <v>0</v>
      </c>
      <c r="E27" s="22" t="n">
        <v>80000</v>
      </c>
      <c r="F27" s="22" t="n">
        <v>60000</v>
      </c>
      <c r="G27" s="22" t="n">
        <v>60000</v>
      </c>
    </row>
    <row r="28" customFormat="false" ht="15" hidden="false" customHeight="true" outlineLevel="0" collapsed="false">
      <c r="B28" s="21" t="s">
        <v>213</v>
      </c>
      <c r="C28" s="22" t="n">
        <v>0</v>
      </c>
      <c r="D28" s="22" t="n">
        <v>0</v>
      </c>
      <c r="E28" s="22" t="n">
        <v>80000</v>
      </c>
      <c r="F28" s="22" t="n">
        <v>100000</v>
      </c>
      <c r="G28" s="22" t="n">
        <v>140000</v>
      </c>
    </row>
    <row r="30" customFormat="false" ht="15" hidden="false" customHeight="true" outlineLevel="0" collapsed="false">
      <c r="B30" s="53" t="s">
        <v>214</v>
      </c>
    </row>
    <row r="31" customFormat="false" ht="15" hidden="false" customHeight="true" outlineLevel="0" collapsed="false">
      <c r="B31" s="21" t="s">
        <v>215</v>
      </c>
      <c r="C31" s="22" t="n">
        <v>300000</v>
      </c>
      <c r="D31" s="22" t="n">
        <v>300000</v>
      </c>
      <c r="E31" s="22" t="n">
        <v>300000</v>
      </c>
      <c r="F31" s="22" t="n">
        <v>300000</v>
      </c>
      <c r="G31" s="22" t="n">
        <v>300000</v>
      </c>
    </row>
    <row r="32" customFormat="false" ht="15" hidden="false" customHeight="true" outlineLevel="0" collapsed="false">
      <c r="B32" s="21" t="s">
        <v>216</v>
      </c>
      <c r="C32" s="22" t="n">
        <v>480000</v>
      </c>
      <c r="D32" s="22" t="n">
        <v>480000</v>
      </c>
      <c r="E32" s="22" t="n">
        <v>480000</v>
      </c>
      <c r="F32" s="22" t="n">
        <v>480000</v>
      </c>
      <c r="G32" s="22" t="n">
        <v>480000</v>
      </c>
    </row>
    <row r="33" customFormat="false" ht="15" hidden="false" customHeight="true" outlineLevel="0" collapsed="false">
      <c r="B33" s="21" t="s">
        <v>217</v>
      </c>
      <c r="C33" s="22" t="n">
        <v>720000</v>
      </c>
      <c r="D33" s="22" t="n">
        <v>720000</v>
      </c>
      <c r="E33" s="22" t="n">
        <v>720000</v>
      </c>
      <c r="F33" s="22" t="n">
        <v>720000</v>
      </c>
      <c r="G33" s="22" t="n">
        <v>720000</v>
      </c>
    </row>
    <row r="34" customFormat="false" ht="15" hidden="false" customHeight="true" outlineLevel="0" collapsed="false">
      <c r="B34" s="34" t="s">
        <v>218</v>
      </c>
      <c r="C34" s="57" t="n">
        <f aca="false">SUM(C31:C33)</f>
        <v>1500000</v>
      </c>
      <c r="D34" s="57" t="n">
        <f aca="false">SUM(D31:D33)</f>
        <v>1500000</v>
      </c>
      <c r="E34" s="57" t="n">
        <f aca="false">SUM(E31:E33)</f>
        <v>1500000</v>
      </c>
      <c r="F34" s="57" t="n">
        <f aca="false">SUM(F31:F33)</f>
        <v>1500000</v>
      </c>
      <c r="G34" s="57" t="n">
        <f aca="false">SUM(G31:G33)</f>
        <v>1500000</v>
      </c>
    </row>
    <row r="36" customFormat="false" ht="15" hidden="false" customHeight="true" outlineLevel="0" collapsed="false">
      <c r="B36" s="34" t="s">
        <v>219</v>
      </c>
      <c r="C36" s="57" t="n">
        <f aca="false">SUM(C25:C28)</f>
        <v>0</v>
      </c>
      <c r="D36" s="57" t="n">
        <f aca="false">SUM(D25:D28)</f>
        <v>0</v>
      </c>
      <c r="E36" s="57" t="n">
        <f aca="false">SUM(E25:E28)</f>
        <v>1072000</v>
      </c>
      <c r="F36" s="57" t="n">
        <f aca="false">SUM(F25:F28)</f>
        <v>1096000</v>
      </c>
      <c r="G36" s="57" t="n">
        <f aca="false">SUM(G25:G28)</f>
        <v>1280000</v>
      </c>
    </row>
    <row r="39" customFormat="false" ht="15" hidden="false" customHeight="true" outlineLevel="0" collapsed="false">
      <c r="B39" s="58" t="s">
        <v>220</v>
      </c>
      <c r="C39" s="59" t="s">
        <v>221</v>
      </c>
    </row>
    <row r="41" customFormat="false" ht="27.75" hidden="false" customHeight="true" outlineLevel="0" collapsed="false">
      <c r="C41" s="55" t="s">
        <v>132</v>
      </c>
      <c r="D41" s="55" t="s">
        <v>133</v>
      </c>
      <c r="E41" s="55" t="s">
        <v>134</v>
      </c>
      <c r="F41" s="55" t="s">
        <v>135</v>
      </c>
      <c r="G41" s="55" t="s">
        <v>136</v>
      </c>
    </row>
    <row r="42" customFormat="false" ht="15" hidden="false" customHeight="true" outlineLevel="0" collapsed="false">
      <c r="B42" s="34" t="s">
        <v>222</v>
      </c>
      <c r="C42" s="50" t="n">
        <f aca="false">'Base Case'!C21</f>
        <v>76500</v>
      </c>
      <c r="D42" s="50" t="n">
        <f aca="false">'Base Case'!D21</f>
        <v>166500</v>
      </c>
      <c r="E42" s="50" t="n">
        <f aca="false">'Base Case'!E21</f>
        <v>877500</v>
      </c>
      <c r="F42" s="50" t="n">
        <f aca="false">'Base Case'!F21</f>
        <v>1493000</v>
      </c>
      <c r="G42" s="50" t="n">
        <f aca="false">'Base Case'!G21</f>
        <v>2520000</v>
      </c>
    </row>
    <row r="43" customFormat="false" ht="15" hidden="false" customHeight="true" outlineLevel="0" collapsed="false">
      <c r="B43" s="21" t="s">
        <v>223</v>
      </c>
      <c r="C43" s="60" t="n">
        <f aca="false">C34</f>
        <v>1500000</v>
      </c>
      <c r="D43" s="60" t="n">
        <f aca="false">D34</f>
        <v>1500000</v>
      </c>
      <c r="E43" s="60" t="n">
        <f aca="false">E34</f>
        <v>1500000</v>
      </c>
      <c r="F43" s="60" t="n">
        <f aca="false">F34</f>
        <v>1500000</v>
      </c>
      <c r="G43" s="60" t="n">
        <f aca="false">G34</f>
        <v>1500000</v>
      </c>
    </row>
    <row r="44" customFormat="false" ht="15" hidden="false" customHeight="true" outlineLevel="0" collapsed="false">
      <c r="B44" s="15" t="s">
        <v>224</v>
      </c>
      <c r="C44" s="57" t="n">
        <f aca="false">SUM(C42:C43)</f>
        <v>1576500</v>
      </c>
      <c r="D44" s="57" t="n">
        <f aca="false">SUM(D42:D43)</f>
        <v>1666500</v>
      </c>
      <c r="E44" s="57" t="n">
        <f aca="false">SUM(E42:E43)</f>
        <v>2377500</v>
      </c>
      <c r="F44" s="57" t="n">
        <f aca="false">SUM(F42:F43)</f>
        <v>2993000</v>
      </c>
      <c r="G44" s="57" t="n">
        <f aca="false">SUM(G42:G43)</f>
        <v>4020000</v>
      </c>
    </row>
    <row r="46" customFormat="false" ht="15" hidden="false" customHeight="true" outlineLevel="0" collapsed="false">
      <c r="B46" s="21" t="s">
        <v>225</v>
      </c>
      <c r="C46" s="50" t="n">
        <f aca="false">'Base Case'!C24</f>
        <v>1180000</v>
      </c>
      <c r="D46" s="50" t="n">
        <f aca="false">'Base Case'!D24</f>
        <v>1298000</v>
      </c>
      <c r="E46" s="50" t="n">
        <f aca="false">'Base Case'!E24</f>
        <v>1495550</v>
      </c>
      <c r="F46" s="50" t="n">
        <f aca="false">'Base Case'!F24</f>
        <v>1792380</v>
      </c>
      <c r="G46" s="50" t="n">
        <f aca="false">'Base Case'!G24</f>
        <v>2154276</v>
      </c>
    </row>
    <row r="47" customFormat="false" ht="15" hidden="false" customHeight="true" outlineLevel="0" collapsed="false">
      <c r="B47" s="21" t="s">
        <v>226</v>
      </c>
      <c r="C47" s="60" t="n">
        <f aca="false">C36</f>
        <v>0</v>
      </c>
      <c r="D47" s="60" t="n">
        <f aca="false">D36</f>
        <v>0</v>
      </c>
      <c r="E47" s="60" t="n">
        <f aca="false">E36</f>
        <v>1072000</v>
      </c>
      <c r="F47" s="60" t="n">
        <f aca="false">F36</f>
        <v>1096000</v>
      </c>
      <c r="G47" s="60" t="n">
        <f aca="false">G36</f>
        <v>1280000</v>
      </c>
    </row>
    <row r="48" customFormat="false" ht="15" hidden="false" customHeight="true" outlineLevel="0" collapsed="false">
      <c r="B48" s="34" t="s">
        <v>227</v>
      </c>
      <c r="C48" s="57" t="n">
        <f aca="false">C46+C47</f>
        <v>1180000</v>
      </c>
      <c r="D48" s="57" t="n">
        <f aca="false">D46+D47</f>
        <v>1298000</v>
      </c>
      <c r="E48" s="57" t="n">
        <f aca="false">E46+E47</f>
        <v>2567550</v>
      </c>
      <c r="F48" s="57" t="n">
        <f aca="false">F46+F47</f>
        <v>2888380</v>
      </c>
      <c r="G48" s="57" t="n">
        <f aca="false">G46+G47</f>
        <v>3434276</v>
      </c>
    </row>
    <row r="50" customFormat="false" ht="15" hidden="false" customHeight="true" outlineLevel="0" collapsed="false">
      <c r="B50" s="15" t="s">
        <v>228</v>
      </c>
      <c r="C50" s="57" t="n">
        <f aca="false">C44-C48</f>
        <v>396500</v>
      </c>
      <c r="D50" s="57" t="n">
        <f aca="false">D44-D48</f>
        <v>368500</v>
      </c>
      <c r="E50" s="57" t="n">
        <f aca="false">E44-E48</f>
        <v>-190050</v>
      </c>
      <c r="F50" s="57" t="n">
        <f aca="false">F44-F48</f>
        <v>104620</v>
      </c>
      <c r="G50" s="57" t="n">
        <f aca="false">G44-G48</f>
        <v>585724</v>
      </c>
    </row>
    <row r="51" customFormat="false" ht="15" hidden="false" customHeight="true" outlineLevel="0" collapsed="false">
      <c r="B51" s="15" t="s">
        <v>229</v>
      </c>
      <c r="C51" s="61" t="n">
        <f aca="false">IF(C44=0,"n/m",C50/C44)</f>
        <v>0.25150650174437</v>
      </c>
      <c r="D51" s="61" t="n">
        <f aca="false">IF(D44=0,"n/m",D50/D44)</f>
        <v>0.221122112211221</v>
      </c>
      <c r="E51" s="61" t="n">
        <f aca="false">IF(E44=0,"n/m",E50/E44)</f>
        <v>-0.0799369085173502</v>
      </c>
      <c r="F51" s="61" t="n">
        <f aca="false">IF(F44=0,"n/m",F50/F44)</f>
        <v>0.034954894754427</v>
      </c>
      <c r="G51" s="61" t="n">
        <f aca="false">IF(G44=0,"n/m",G50/G44)</f>
        <v>0.145702487562189</v>
      </c>
    </row>
    <row r="53" customFormat="false" ht="15" hidden="false" customHeight="true" outlineLevel="0" collapsed="false">
      <c r="B53" s="53" t="s">
        <v>230</v>
      </c>
    </row>
    <row r="54" customFormat="false" ht="15" hidden="false" customHeight="true" outlineLevel="0" collapsed="false">
      <c r="B54" s="34" t="s">
        <v>231</v>
      </c>
      <c r="C54" s="54" t="s">
        <v>232</v>
      </c>
    </row>
    <row r="55" customFormat="false" ht="15" hidden="false" customHeight="true" outlineLevel="0" collapsed="false">
      <c r="B55" s="34" t="s">
        <v>233</v>
      </c>
      <c r="C55" s="54" t="s">
        <v>234</v>
      </c>
    </row>
    <row r="56" customFormat="false" ht="15" hidden="false" customHeight="true" outlineLevel="0" collapsed="false">
      <c r="B56" s="34" t="s">
        <v>235</v>
      </c>
      <c r="C56" s="54" t="s">
        <v>236</v>
      </c>
    </row>
    <row r="57" customFormat="false" ht="15" hidden="false" customHeight="true" outlineLevel="0" collapsed="false">
      <c r="B57" s="34" t="s">
        <v>237</v>
      </c>
      <c r="C57" s="54" t="s">
        <v>238</v>
      </c>
    </row>
    <row r="59" customFormat="false" ht="15" hidden="false" customHeight="true" outlineLevel="0" collapsed="false">
      <c r="B59" s="23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2026-05-18T05:42:16Z</dcterms:created>
  <dc:creator>openpyxl</dc:creator>
  <dc:description/>
  <dc:language>en-US</dc:language>
  <cp:lastModifiedBy/>
  <dcterms:modified xsi:type="dcterms:W3CDTF">2026-05-19T11:09:04Z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